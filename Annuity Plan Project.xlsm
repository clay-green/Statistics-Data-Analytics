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defaultThemeVersion="166925"/>
  <mc:AlternateContent xmlns:mc="http://schemas.openxmlformats.org/markup-compatibility/2006">
    <mc:Choice Requires="x15">
      <x15ac:absPath xmlns:x15ac="http://schemas.microsoft.com/office/spreadsheetml/2010/11/ac" url="https://d.docs.live.net/a7a6b862821f9324/Documents/Development/"/>
    </mc:Choice>
  </mc:AlternateContent>
  <xr:revisionPtr revIDLastSave="0" documentId="8_{FC0C49A6-16C8-438B-B4EB-EC1058D3349F}" xr6:coauthVersionLast="47" xr6:coauthVersionMax="47" xr10:uidLastSave="{00000000-0000-0000-0000-000000000000}"/>
  <bookViews>
    <workbookView xWindow="-110" yWindow="-110" windowWidth="22780" windowHeight="14540" xr2:uid="{F6E32B6D-BF6B-4209-A6F4-E97AA453436B}"/>
  </bookViews>
  <sheets>
    <sheet name="Overview" sheetId="3" r:id="rId1"/>
    <sheet name="Illustration Tool" sheetId="1" r:id="rId2"/>
    <sheet name="Calculations" sheetId="2" r:id="rId3"/>
  </sheets>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 i="2" l="1"/>
  <c r="J6" i="2"/>
  <c r="I7" i="2"/>
  <c r="I6" i="2"/>
  <c r="H6" i="1"/>
  <c r="H8" i="1" s="1"/>
  <c r="H7" i="2"/>
  <c r="H6" i="2"/>
  <c r="F6" i="2"/>
  <c r="P6" i="2" s="1"/>
  <c r="D7" i="2"/>
  <c r="D6"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5" i="2"/>
  <c r="O6" i="2"/>
  <c r="O7" i="2"/>
  <c r="O8" i="2"/>
  <c r="O9" i="2"/>
  <c r="O10" i="2"/>
  <c r="O11" i="2"/>
  <c r="O12" i="2"/>
  <c r="O13" i="2"/>
  <c r="O14" i="2"/>
  <c r="O15" i="2"/>
  <c r="O16" i="2"/>
  <c r="O17" i="2"/>
  <c r="O18" i="2"/>
  <c r="O19" i="2"/>
  <c r="O20" i="2"/>
  <c r="O21" i="2"/>
  <c r="O22" i="2"/>
  <c r="O23" i="2"/>
  <c r="O24" i="2"/>
  <c r="O25" i="2"/>
  <c r="O26" i="2"/>
  <c r="O27" i="2"/>
  <c r="O28" i="2"/>
  <c r="O29" i="2"/>
  <c r="O30" i="2"/>
  <c r="O31" i="2"/>
  <c r="O32" i="2" s="1"/>
  <c r="O33" i="2" s="1"/>
  <c r="O34" i="2" s="1"/>
  <c r="O35" i="2" s="1"/>
  <c r="O36" i="2" s="1"/>
  <c r="O37" i="2" s="1"/>
  <c r="O38" i="2" s="1"/>
  <c r="O39" i="2" s="1"/>
  <c r="O40" i="2" s="1"/>
  <c r="O41" i="2" s="1"/>
  <c r="O42" i="2" s="1"/>
  <c r="O43" i="2" s="1"/>
  <c r="O44" i="2" s="1"/>
  <c r="O45" i="2" s="1"/>
  <c r="O46" i="2" s="1"/>
  <c r="O47" i="2" s="1"/>
  <c r="O48" i="2" s="1"/>
  <c r="O49" i="2" s="1"/>
  <c r="O50" i="2" s="1"/>
  <c r="O51" i="2" s="1"/>
  <c r="O52" i="2" s="1"/>
  <c r="O53" i="2" s="1"/>
  <c r="O54" i="2" s="1"/>
  <c r="O55" i="2" s="1"/>
  <c r="O56" i="2" s="1"/>
  <c r="O57" i="2" s="1"/>
  <c r="O58" i="2" s="1"/>
  <c r="O59" i="2" s="1"/>
  <c r="O60" i="2"/>
  <c r="O61" i="2"/>
  <c r="O62" i="2"/>
  <c r="O63" i="2"/>
  <c r="O64" i="2"/>
  <c r="O65" i="2"/>
  <c r="O66" i="2"/>
  <c r="O67" i="2"/>
  <c r="O68" i="2"/>
  <c r="O69" i="2"/>
  <c r="O70" i="2"/>
  <c r="O71" i="2"/>
  <c r="O72" i="2"/>
  <c r="O73" i="2"/>
  <c r="O74" i="2"/>
  <c r="O75" i="2"/>
  <c r="O5" i="2"/>
  <c r="P66" i="2" l="1"/>
  <c r="T5" i="2"/>
  <c r="T6" i="2" s="1"/>
  <c r="T7" i="2" s="1"/>
  <c r="T8" i="2" s="1"/>
  <c r="T9" i="2" s="1"/>
  <c r="T10" i="2" s="1"/>
  <c r="T11" i="2" s="1"/>
  <c r="T12" i="2" s="1"/>
  <c r="T13" i="2" s="1"/>
  <c r="T14" i="2" s="1"/>
  <c r="T15" i="2" s="1"/>
  <c r="T16" i="2" s="1"/>
  <c r="T17" i="2" s="1"/>
  <c r="T18" i="2" s="1"/>
  <c r="T19" i="2" s="1"/>
  <c r="T20" i="2" s="1"/>
  <c r="T21" i="2" s="1"/>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S10" i="2"/>
  <c r="H10" i="1"/>
  <c r="Q76" i="2"/>
  <c r="O76" i="2"/>
  <c r="S13" i="2"/>
  <c r="P75" i="2"/>
  <c r="P59" i="2"/>
  <c r="P49" i="2"/>
  <c r="P35" i="2"/>
  <c r="P11" i="2"/>
  <c r="S42" i="2"/>
  <c r="S69" i="2"/>
  <c r="S37" i="2"/>
  <c r="S74" i="2"/>
  <c r="S66" i="2"/>
  <c r="S34" i="2"/>
  <c r="S61" i="2"/>
  <c r="S29" i="2"/>
  <c r="S58" i="2"/>
  <c r="S26" i="2"/>
  <c r="S8" i="2"/>
  <c r="S53" i="2"/>
  <c r="S21" i="2"/>
  <c r="S50" i="2"/>
  <c r="S18" i="2"/>
  <c r="S45" i="2"/>
  <c r="P65" i="2"/>
  <c r="S5" i="2"/>
  <c r="S68" i="2"/>
  <c r="S60" i="2"/>
  <c r="S52" i="2"/>
  <c r="S44" i="2"/>
  <c r="S36" i="2"/>
  <c r="S28" i="2"/>
  <c r="S20" i="2"/>
  <c r="S12" i="2"/>
  <c r="S75" i="2"/>
  <c r="S67" i="2"/>
  <c r="S59" i="2"/>
  <c r="S51" i="2"/>
  <c r="S43" i="2"/>
  <c r="S35" i="2"/>
  <c r="S27" i="2"/>
  <c r="S19" i="2"/>
  <c r="S11" i="2"/>
  <c r="S73" i="2"/>
  <c r="S65" i="2"/>
  <c r="S57" i="2"/>
  <c r="S49" i="2"/>
  <c r="S41" i="2"/>
  <c r="S33" i="2"/>
  <c r="S25" i="2"/>
  <c r="S17" i="2"/>
  <c r="S9" i="2"/>
  <c r="P34" i="2"/>
  <c r="S72" i="2"/>
  <c r="S64" i="2"/>
  <c r="S56" i="2"/>
  <c r="S48" i="2"/>
  <c r="S40" i="2"/>
  <c r="S32" i="2"/>
  <c r="S24" i="2"/>
  <c r="S16" i="2"/>
  <c r="S71" i="2"/>
  <c r="S63" i="2"/>
  <c r="S55" i="2"/>
  <c r="S47" i="2"/>
  <c r="S39" i="2"/>
  <c r="S31" i="2"/>
  <c r="S23" i="2"/>
  <c r="S15" i="2"/>
  <c r="S7" i="2"/>
  <c r="P67" i="2"/>
  <c r="S70" i="2"/>
  <c r="S62" i="2"/>
  <c r="S54" i="2"/>
  <c r="S46" i="2"/>
  <c r="S38" i="2"/>
  <c r="S30" i="2"/>
  <c r="S22" i="2"/>
  <c r="S14" i="2"/>
  <c r="S6" i="2"/>
  <c r="P42" i="2"/>
  <c r="R7" i="2"/>
  <c r="P43" i="2"/>
  <c r="P41" i="2"/>
  <c r="P25" i="2"/>
  <c r="P58" i="2"/>
  <c r="P57" i="2"/>
  <c r="P17" i="2"/>
  <c r="P19" i="2"/>
  <c r="P26" i="2"/>
  <c r="P18" i="2"/>
  <c r="N8" i="2"/>
  <c r="P74" i="2"/>
  <c r="P51" i="2"/>
  <c r="P33" i="2"/>
  <c r="P10" i="2"/>
  <c r="P73" i="2"/>
  <c r="P50" i="2"/>
  <c r="P27" i="2"/>
  <c r="P9" i="2"/>
  <c r="P72" i="2"/>
  <c r="P56" i="2"/>
  <c r="P40" i="2"/>
  <c r="P24" i="2"/>
  <c r="P8" i="2"/>
  <c r="P71" i="2"/>
  <c r="P55" i="2"/>
  <c r="P31" i="2"/>
  <c r="P15" i="2"/>
  <c r="P69" i="2"/>
  <c r="P61" i="2"/>
  <c r="P53" i="2"/>
  <c r="P45" i="2"/>
  <c r="P37" i="2"/>
  <c r="P29" i="2"/>
  <c r="P21" i="2"/>
  <c r="P13" i="2"/>
  <c r="P47" i="2"/>
  <c r="P5" i="2"/>
  <c r="P68" i="2"/>
  <c r="P60" i="2"/>
  <c r="P52" i="2"/>
  <c r="P44" i="2"/>
  <c r="P36" i="2"/>
  <c r="P28" i="2"/>
  <c r="P20" i="2"/>
  <c r="P12" i="2"/>
  <c r="P64" i="2"/>
  <c r="P48" i="2"/>
  <c r="P32" i="2"/>
  <c r="P16" i="2"/>
  <c r="P63" i="2"/>
  <c r="P39" i="2"/>
  <c r="P23" i="2"/>
  <c r="P7" i="2"/>
  <c r="P70" i="2"/>
  <c r="P62" i="2"/>
  <c r="P54" i="2"/>
  <c r="P46" i="2"/>
  <c r="P38" i="2"/>
  <c r="P30" i="2"/>
  <c r="P22" i="2"/>
  <c r="P14" i="2"/>
  <c r="R58" i="2"/>
  <c r="R66" i="2"/>
  <c r="R50" i="2"/>
  <c r="R74" i="2"/>
  <c r="R25" i="2"/>
  <c r="K27" i="1" s="1"/>
  <c r="R70" i="2"/>
  <c r="R62" i="2"/>
  <c r="R54" i="2"/>
  <c r="R46" i="2"/>
  <c r="R38" i="2"/>
  <c r="R29" i="2"/>
  <c r="R20" i="2"/>
  <c r="R9" i="2"/>
  <c r="R61" i="2"/>
  <c r="R45" i="2"/>
  <c r="R28" i="2"/>
  <c r="R6" i="2"/>
  <c r="R5" i="2"/>
  <c r="R68" i="2"/>
  <c r="R60" i="2"/>
  <c r="R52" i="2"/>
  <c r="R44" i="2"/>
  <c r="R36" i="2"/>
  <c r="R27" i="2"/>
  <c r="R18" i="2"/>
  <c r="R69" i="2"/>
  <c r="R53" i="2"/>
  <c r="R37" i="2"/>
  <c r="R19" i="2"/>
  <c r="R8" i="2"/>
  <c r="R75" i="2"/>
  <c r="R67" i="2"/>
  <c r="R59" i="2"/>
  <c r="R51" i="2"/>
  <c r="R43" i="2"/>
  <c r="R35" i="2"/>
  <c r="R26" i="2"/>
  <c r="R17" i="2"/>
  <c r="R72" i="2"/>
  <c r="R64" i="2"/>
  <c r="R56" i="2"/>
  <c r="R48" i="2"/>
  <c r="R40" i="2"/>
  <c r="R32" i="2"/>
  <c r="R22" i="2"/>
  <c r="R13" i="2"/>
  <c r="R42" i="2"/>
  <c r="R34" i="2"/>
  <c r="R16" i="2"/>
  <c r="R73" i="2"/>
  <c r="R65" i="2"/>
  <c r="R57" i="2"/>
  <c r="R49" i="2"/>
  <c r="R41" i="2"/>
  <c r="R33" i="2"/>
  <c r="R24" i="2"/>
  <c r="R14" i="2"/>
  <c r="R71" i="2"/>
  <c r="R63" i="2"/>
  <c r="R55" i="2"/>
  <c r="R47" i="2"/>
  <c r="R39" i="2"/>
  <c r="R30" i="2"/>
  <c r="R21" i="2"/>
  <c r="R12" i="2"/>
  <c r="R11" i="2"/>
  <c r="R10" i="2"/>
  <c r="R31" i="2"/>
  <c r="R23" i="2"/>
  <c r="R15" i="2"/>
  <c r="N70" i="2"/>
  <c r="N62" i="2"/>
  <c r="N54" i="2"/>
  <c r="N46" i="2"/>
  <c r="N38" i="2"/>
  <c r="N30" i="2"/>
  <c r="N22" i="2"/>
  <c r="N14" i="2"/>
  <c r="N6" i="2"/>
  <c r="N69" i="2"/>
  <c r="N61" i="2"/>
  <c r="N53" i="2"/>
  <c r="N45" i="2"/>
  <c r="N37" i="2"/>
  <c r="N29" i="2"/>
  <c r="N21" i="2"/>
  <c r="N13" i="2"/>
  <c r="N23" i="2"/>
  <c r="N12" i="2"/>
  <c r="N71" i="2"/>
  <c r="N47" i="2"/>
  <c r="N15" i="2"/>
  <c r="N60" i="2"/>
  <c r="N36" i="2"/>
  <c r="N27" i="2"/>
  <c r="N66" i="2"/>
  <c r="N42" i="2"/>
  <c r="N18" i="2"/>
  <c r="N10" i="2"/>
  <c r="N63" i="2"/>
  <c r="N39" i="2"/>
  <c r="N7" i="2"/>
  <c r="N5" i="2"/>
  <c r="N52" i="2"/>
  <c r="N20" i="2"/>
  <c r="N75" i="2"/>
  <c r="N67" i="2"/>
  <c r="N59" i="2"/>
  <c r="N51" i="2"/>
  <c r="N43" i="2"/>
  <c r="N11" i="2"/>
  <c r="N58" i="2"/>
  <c r="N34" i="2"/>
  <c r="N73" i="2"/>
  <c r="N65" i="2"/>
  <c r="N57" i="2"/>
  <c r="N49" i="2"/>
  <c r="N41" i="2"/>
  <c r="N33" i="2"/>
  <c r="N25" i="2"/>
  <c r="N17" i="2"/>
  <c r="N9" i="2"/>
  <c r="N55" i="2"/>
  <c r="N31" i="2"/>
  <c r="N68" i="2"/>
  <c r="N44" i="2"/>
  <c r="N28" i="2"/>
  <c r="N35" i="2"/>
  <c r="N19" i="2"/>
  <c r="N74" i="2"/>
  <c r="N50" i="2"/>
  <c r="N26" i="2"/>
  <c r="N72" i="2"/>
  <c r="N64" i="2"/>
  <c r="N56" i="2"/>
  <c r="N48" i="2"/>
  <c r="N40" i="2"/>
  <c r="N32" i="2"/>
  <c r="N24" i="2"/>
  <c r="N16" i="2"/>
  <c r="K28" i="1" l="1"/>
  <c r="K7" i="1"/>
  <c r="S76" i="2"/>
  <c r="P76" i="2"/>
  <c r="R76" i="2"/>
  <c r="N76" i="2"/>
  <c r="K8" i="1" l="1"/>
  <c r="K29" i="1"/>
  <c r="K30" i="1" l="1"/>
  <c r="K9" i="1"/>
  <c r="K10" i="1" l="1"/>
  <c r="K31" i="1"/>
  <c r="K32" i="1" l="1"/>
  <c r="K11" i="1"/>
  <c r="K12" i="1" l="1"/>
  <c r="K33" i="1"/>
  <c r="K34" i="1" l="1"/>
  <c r="K13" i="1"/>
  <c r="K14" i="1" l="1"/>
  <c r="K35" i="1"/>
  <c r="K36" i="1" l="1"/>
  <c r="K15" i="1"/>
  <c r="K16" i="1" l="1"/>
  <c r="K37" i="1"/>
  <c r="K38" i="1" l="1"/>
  <c r="K17" i="1"/>
  <c r="K18" i="1" l="1"/>
  <c r="K39" i="1"/>
  <c r="K40" i="1" l="1"/>
  <c r="K19" i="1"/>
  <c r="K20" i="1" l="1"/>
  <c r="K41" i="1"/>
  <c r="K42" i="1" l="1"/>
  <c r="K21" i="1"/>
  <c r="K22" i="1" l="1"/>
  <c r="K43" i="1"/>
  <c r="K44" i="1" l="1"/>
  <c r="K23" i="1"/>
  <c r="K24" i="1" l="1"/>
  <c r="K45" i="1"/>
  <c r="K46" i="1" l="1"/>
  <c r="K26" i="1"/>
  <c r="K25" i="1"/>
  <c r="K47" i="1" l="1"/>
  <c r="K48" i="1" l="1"/>
  <c r="K49" i="1" l="1"/>
  <c r="K50" i="1" l="1"/>
  <c r="K51" i="1" l="1"/>
  <c r="K52" i="1" l="1"/>
  <c r="K53" i="1" l="1"/>
  <c r="K54" i="1" l="1"/>
  <c r="K55" i="1" l="1"/>
  <c r="K56" i="1" l="1"/>
  <c r="K57" i="1" l="1"/>
  <c r="K58" i="1" l="1"/>
  <c r="K59" i="1" l="1"/>
  <c r="K60" i="1" l="1"/>
  <c r="K61" i="1" l="1"/>
  <c r="K62" i="1" l="1"/>
  <c r="K63" i="1" l="1"/>
  <c r="K64" i="1" l="1"/>
  <c r="K65" i="1" l="1"/>
  <c r="K66" i="1" l="1"/>
  <c r="K67" i="1" l="1"/>
  <c r="K68" i="1" l="1"/>
  <c r="K69" i="1" l="1"/>
  <c r="K70" i="1" l="1"/>
  <c r="K71" i="1" l="1"/>
  <c r="K72" i="1" l="1"/>
  <c r="K73" i="1" l="1"/>
  <c r="K74" i="1" l="1"/>
  <c r="K75" i="1" l="1"/>
  <c r="K76" i="1" l="1"/>
  <c r="K77" i="1" l="1"/>
  <c r="T76" i="2"/>
  <c r="H14" i="1" l="1"/>
  <c r="H12" i="1"/>
</calcChain>
</file>

<file path=xl/sharedStrings.xml><?xml version="1.0" encoding="utf-8"?>
<sst xmlns="http://schemas.openxmlformats.org/spreadsheetml/2006/main" count="47" uniqueCount="37">
  <si>
    <t>Age</t>
  </si>
  <si>
    <t>Plan #1</t>
  </si>
  <si>
    <t>Plan #2</t>
  </si>
  <si>
    <t>Plan #3</t>
  </si>
  <si>
    <t>Plan #4</t>
  </si>
  <si>
    <t>Plan #5</t>
  </si>
  <si>
    <t>Totals</t>
  </si>
  <si>
    <t>Plan Selection</t>
  </si>
  <si>
    <t>Age of First Payment</t>
  </si>
  <si>
    <t>Age of Last Payment</t>
  </si>
  <si>
    <t xml:space="preserve"> </t>
  </si>
  <si>
    <t>Payment Amount</t>
  </si>
  <si>
    <t>Annuitant Inputs</t>
  </si>
  <si>
    <t>Selection Summary / Illustration</t>
  </si>
  <si>
    <t>Plan:</t>
  </si>
  <si>
    <t>Total Number of Payments:</t>
  </si>
  <si>
    <t>Total Payments Amount:</t>
  </si>
  <si>
    <t>Age at First Payment:</t>
  </si>
  <si>
    <t>Age at Last Payment:</t>
  </si>
  <si>
    <t>Age at First Payment</t>
  </si>
  <si>
    <t>Age at Last Payment</t>
  </si>
  <si>
    <t>Plan #6</t>
  </si>
  <si>
    <t>Plan #7</t>
  </si>
  <si>
    <t>Instructions</t>
  </si>
  <si>
    <t>An insurance company sells annuities to individuals age 40+.</t>
  </si>
  <si>
    <t>The maximum age that the insurance company offers payments to is age 110. Annuitants receive payments once per year.</t>
  </si>
  <si>
    <t>There are 5 possible annuities that the annuitant could purchase:</t>
  </si>
  <si>
    <t>Plan # 1: $15,000 per year; annuitant decides what age payments will start at and how long they’ll go for.</t>
  </si>
  <si>
    <t>Plan # 2: Payments start at age 65 and go to age 94; initial payment is $25,000 and payments increase by $1000 per year.</t>
  </si>
  <si>
    <t>Plan # 3: Annuitant decides when payments start, and they go to age 110; $7,200 per year.</t>
  </si>
  <si>
    <t>Plan # 4: Payments start at age 60 and go to age 100. Each year, the annuitant gets 1000 per year they’ve been alive. For example, at age 64 the annuitant would get $64,000; the following year when they’re 65, they’d get $65,000.</t>
  </si>
  <si>
    <t>Plan # 5: Annuitant decides what age payments start and end at. The first half of the payments is $19,000. The second half of the payments is $25,000. For example, if the annuitant got 4 years of payments, the first two would be for $19,000 and the second two would be for $25,000.</t>
  </si>
  <si>
    <t>General</t>
  </si>
  <si>
    <t>Create an annuity illustration tool that will allow insurance agents to quickly and easily illustrate the annuity payments that an annuitant can expect each year from now until the last annuity payment.</t>
  </si>
  <si>
    <t>The insurance company has decided to introduce 2 new annuity plans. Your task is to add these new plans to the illustration tool that you’ve created.</t>
  </si>
  <si>
    <r>
      <t>Plan # 6:</t>
    </r>
    <r>
      <rPr>
        <sz val="11"/>
        <color rgb="FF000000"/>
        <rFont val="Calibri"/>
        <family val="2"/>
        <scheme val="minor"/>
      </rPr>
      <t> Annuitant decides which age the payments start and end at. The annuitant receives a total of $100,000 in payments and equal payments are made each year.</t>
    </r>
  </si>
  <si>
    <r>
      <t>Plan # 7:</t>
    </r>
    <r>
      <rPr>
        <sz val="11"/>
        <color rgb="FF000000"/>
        <rFont val="Calibri"/>
        <family val="2"/>
        <scheme val="minor"/>
      </rPr>
      <t> Annuitant decides which age the payments start and end at. Instead of payments being made each year, they’re made every second year. Each payment is $30,000. The initial payment of $30,000 occurs at the age the annuitant selects as the “start” age. The following year’s payment will be $0. Then the next year’s payment will be $30,000, etc.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</si>
</sst>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8"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b/>
      <sz val="14"/>
      <color theme="1"/>
      <name val="Calibri"/>
      <family val="2"/>
      <scheme val="minor"/>
    </font>
    <font>
      <b/>
      <sz val="20"/>
      <color theme="1"/>
      <name val="Calibri"/>
      <family val="2"/>
      <scheme val="minor"/>
    </font>
    <font>
      <sz val="11"/>
      <color rgb="FF000000"/>
      <name val="Calibri"/>
      <family val="2"/>
      <scheme val="minor"/>
    </font>
    <font>
      <b/>
      <sz val="11"/>
      <color rgb="FF000000"/>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59999389629810485"/>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22">
    <xf numFmtId="0" fontId="0" fillId="0" borderId="0" xfId="0"/>
    <xf numFmtId="44" fontId="0" fillId="0" borderId="0" xfId="1" applyFont="1"/>
    <xf numFmtId="0" fontId="2" fillId="0" borderId="0" xfId="0" applyFont="1"/>
    <xf numFmtId="44" fontId="0" fillId="0" borderId="0" xfId="0" applyNumberFormat="1"/>
    <xf numFmtId="0" fontId="2" fillId="2" borderId="1" xfId="0" applyFont="1" applyFill="1" applyBorder="1" applyAlignment="1">
      <alignment horizontal="center"/>
    </xf>
    <xf numFmtId="0" fontId="0" fillId="0" borderId="0" xfId="0" applyAlignment="1">
      <alignment horizontal="center"/>
    </xf>
    <xf numFmtId="0" fontId="4" fillId="3" borderId="1" xfId="0" applyFont="1" applyFill="1" applyBorder="1" applyAlignment="1">
      <alignment horizontal="center"/>
    </xf>
    <xf numFmtId="0" fontId="2" fillId="0" borderId="5" xfId="0" applyFont="1" applyBorder="1" applyAlignment="1">
      <alignment horizontal="left"/>
    </xf>
    <xf numFmtId="0" fontId="0" fillId="0" borderId="5" xfId="0" applyBorder="1"/>
    <xf numFmtId="0" fontId="0" fillId="0" borderId="5" xfId="0" applyBorder="1" applyAlignment="1">
      <alignment horizontal="left"/>
    </xf>
    <xf numFmtId="44" fontId="0" fillId="0" borderId="5" xfId="0" applyNumberFormat="1" applyBorder="1" applyAlignment="1">
      <alignment horizontal="left"/>
    </xf>
    <xf numFmtId="0" fontId="4" fillId="0" borderId="0" xfId="0" applyFont="1" applyAlignment="1">
      <alignment horizontal="center"/>
    </xf>
    <xf numFmtId="0" fontId="2" fillId="4" borderId="5" xfId="0" applyFont="1" applyFill="1" applyBorder="1" applyAlignment="1">
      <alignment horizontal="left"/>
    </xf>
    <xf numFmtId="0" fontId="2" fillId="5" borderId="5" xfId="0" applyFont="1" applyFill="1" applyBorder="1"/>
    <xf numFmtId="0" fontId="4" fillId="3" borderId="2"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0" fillId="0" borderId="0" xfId="0" applyAlignment="1">
      <alignment wrapText="1"/>
    </xf>
    <xf numFmtId="0" fontId="5" fillId="0" borderId="0" xfId="0" applyFont="1" applyAlignment="1">
      <alignment wrapText="1"/>
    </xf>
    <xf numFmtId="0" fontId="6" fillId="0" borderId="0" xfId="0" applyFont="1" applyAlignment="1">
      <alignment wrapText="1"/>
    </xf>
    <xf numFmtId="0" fontId="6" fillId="0" borderId="0" xfId="0" applyFont="1" applyAlignment="1">
      <alignment horizontal="left" vertical="center" wrapText="1"/>
    </xf>
    <xf numFmtId="0" fontId="7" fillId="0" borderId="0" xfId="0" applyFont="1" applyAlignment="1">
      <alignment horizontal="left" vertical="center" wrapText="1"/>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A1D09-E81F-46A1-AB26-98A59D75EB68}">
  <dimension ref="B3:B22"/>
  <sheetViews>
    <sheetView tabSelected="1" workbookViewId="0">
      <selection activeCell="B18" sqref="B18"/>
    </sheetView>
  </sheetViews>
  <sheetFormatPr defaultRowHeight="14.5" x14ac:dyDescent="0.35"/>
  <cols>
    <col min="2" max="2" width="160.08984375" customWidth="1"/>
  </cols>
  <sheetData>
    <row r="3" spans="2:2" ht="26" x14ac:dyDescent="0.6">
      <c r="B3" s="18" t="s">
        <v>32</v>
      </c>
    </row>
    <row r="4" spans="2:2" ht="14" customHeight="1" x14ac:dyDescent="0.6">
      <c r="B4" s="18"/>
    </row>
    <row r="5" spans="2:2" x14ac:dyDescent="0.35">
      <c r="B5" s="17" t="s">
        <v>24</v>
      </c>
    </row>
    <row r="6" spans="2:2" x14ac:dyDescent="0.35">
      <c r="B6" s="17" t="s">
        <v>25</v>
      </c>
    </row>
    <row r="7" spans="2:2" x14ac:dyDescent="0.35">
      <c r="B7" s="17" t="s">
        <v>26</v>
      </c>
    </row>
    <row r="8" spans="2:2" x14ac:dyDescent="0.35">
      <c r="B8" s="17" t="s">
        <v>27</v>
      </c>
    </row>
    <row r="9" spans="2:2" x14ac:dyDescent="0.35">
      <c r="B9" s="17" t="s">
        <v>28</v>
      </c>
    </row>
    <row r="10" spans="2:2" x14ac:dyDescent="0.35">
      <c r="B10" s="17" t="s">
        <v>29</v>
      </c>
    </row>
    <row r="11" spans="2:2" ht="29" x14ac:dyDescent="0.35">
      <c r="B11" s="17" t="s">
        <v>30</v>
      </c>
    </row>
    <row r="12" spans="2:2" ht="29" x14ac:dyDescent="0.35">
      <c r="B12" s="17" t="s">
        <v>31</v>
      </c>
    </row>
    <row r="15" spans="2:2" ht="26" x14ac:dyDescent="0.6">
      <c r="B15" s="18" t="s">
        <v>23</v>
      </c>
    </row>
    <row r="17" spans="2:2" ht="29" x14ac:dyDescent="0.35">
      <c r="B17" s="19" t="s">
        <v>33</v>
      </c>
    </row>
    <row r="20" spans="2:2" x14ac:dyDescent="0.35">
      <c r="B20" s="20" t="s">
        <v>34</v>
      </c>
    </row>
    <row r="21" spans="2:2" x14ac:dyDescent="0.35">
      <c r="B21" s="21" t="s">
        <v>35</v>
      </c>
    </row>
    <row r="22" spans="2:2" ht="29" x14ac:dyDescent="0.35">
      <c r="B22" s="21"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E2330-A57F-47B0-828A-31E26538B11D}">
  <dimension ref="B3:L77"/>
  <sheetViews>
    <sheetView workbookViewId="0">
      <selection activeCell="D12" sqref="D12"/>
    </sheetView>
  </sheetViews>
  <sheetFormatPr defaultRowHeight="14.5" x14ac:dyDescent="0.35"/>
  <cols>
    <col min="2" max="2" width="21.36328125" bestFit="1" customWidth="1"/>
    <col min="6" max="6" width="8.54296875" customWidth="1"/>
    <col min="7" max="7" width="26.1796875" customWidth="1"/>
    <col min="8" max="8" width="13.6328125" bestFit="1" customWidth="1"/>
    <col min="11" max="11" width="15.81640625" bestFit="1" customWidth="1"/>
  </cols>
  <sheetData>
    <row r="3" spans="2:12" ht="15" thickBot="1" x14ac:dyDescent="0.4"/>
    <row r="4" spans="2:12" ht="19" thickBot="1" x14ac:dyDescent="0.5">
      <c r="B4" s="6" t="s">
        <v>12</v>
      </c>
      <c r="G4" s="14" t="s">
        <v>13</v>
      </c>
      <c r="H4" s="15"/>
      <c r="I4" s="15"/>
      <c r="J4" s="15"/>
      <c r="K4" s="15"/>
      <c r="L4" s="16"/>
    </row>
    <row r="5" spans="2:12" ht="19" thickBot="1" x14ac:dyDescent="0.5">
      <c r="B5" s="11"/>
      <c r="G5" s="11"/>
      <c r="H5" s="11"/>
      <c r="I5" s="11"/>
      <c r="J5" s="11"/>
      <c r="K5" s="11"/>
      <c r="L5" s="11"/>
    </row>
    <row r="6" spans="2:12" ht="15" thickBot="1" x14ac:dyDescent="0.4">
      <c r="B6" s="4" t="s">
        <v>7</v>
      </c>
      <c r="G6" s="12" t="s">
        <v>14</v>
      </c>
      <c r="H6" s="8" t="str">
        <f>$B$7</f>
        <v>Plan #7</v>
      </c>
      <c r="J6" s="13" t="s">
        <v>0</v>
      </c>
      <c r="K6" s="13" t="s">
        <v>11</v>
      </c>
    </row>
    <row r="7" spans="2:12" x14ac:dyDescent="0.35">
      <c r="B7" s="5" t="s">
        <v>22</v>
      </c>
      <c r="G7" s="7"/>
      <c r="H7" s="8"/>
      <c r="J7">
        <v>40</v>
      </c>
      <c r="K7" s="1">
        <f>VLOOKUP(J7, Calculations!M4:T75, IF($B$7="Plan #1", 2, IF($B$7="Plan #2", 3, IF($B$7="Plan #3", 4, IF($B$7="Plan #4",5, IF($B$7="Plan #5", 6, IF($B$7="Plan #6", 7, IF($B$7="Plan #7", 8, 0))))))),0)</f>
        <v>0</v>
      </c>
    </row>
    <row r="8" spans="2:12" ht="15" thickBot="1" x14ac:dyDescent="0.4">
      <c r="G8" s="12" t="s">
        <v>17</v>
      </c>
      <c r="H8" s="9">
        <f>IF(H6="Plan #1", Calculations!D6, IF(H6="Plan #2", Calculations!E6, IF(H6="Plan #3", Calculations!F6, IF(H6="Plan #4", Calculations!G6, IF(H6="Plan #5", Calculations!H6, IF(H6="Plan #6", Calculations!I6, IF(H6="Plan #7", Calculations!J6, 0)))))))</f>
        <v>41</v>
      </c>
      <c r="J8">
        <v>41</v>
      </c>
      <c r="K8" s="1">
        <f>VLOOKUP(J8, Calculations!M5:T76, IF($B$7="Plan #1", 2, IF($B$7="Plan #2", 3, IF($B$7="Plan #3", 4, IF($B$7="Plan #4",5, IF($B$7="Plan #5", 6, IF($B$7="Plan #6", 7, IF($B$7="Plan #7", 8, 0))))))),0)</f>
        <v>30000</v>
      </c>
    </row>
    <row r="9" spans="2:12" ht="15" thickBot="1" x14ac:dyDescent="0.4">
      <c r="B9" s="4" t="s">
        <v>8</v>
      </c>
      <c r="G9" s="7"/>
      <c r="H9" s="8"/>
      <c r="J9">
        <v>42</v>
      </c>
      <c r="K9" s="1">
        <f>VLOOKUP(J9, Calculations!M6:T77, IF($B$7="Plan #1", 2, IF($B$7="Plan #2", 3, IF($B$7="Plan #3", 4, IF($B$7="Plan #4",5, IF($B$7="Plan #5", 6, IF($B$7="Plan #6", 7, IF($B$7="Plan #7", 8, 0))))))),0)</f>
        <v>0</v>
      </c>
    </row>
    <row r="10" spans="2:12" x14ac:dyDescent="0.35">
      <c r="B10" s="5">
        <v>41</v>
      </c>
      <c r="G10" s="12" t="s">
        <v>18</v>
      </c>
      <c r="H10" s="9">
        <f>IF(H6="Plan #1", Calculations!D7, IF(H6="Plan #2", Calculations!E7, IF(H6="Plan #3", Calculations!F7, IF(H6="Plan #4", Calculations!G7, IF(H6="Plan #5", Calculations!H7, IF(H6="Plan #6", Calculations!I7, IF(H6="Plan #7", Calculations!J7, 0)))))))</f>
        <v>50</v>
      </c>
      <c r="J10">
        <v>43</v>
      </c>
      <c r="K10" s="1">
        <f>VLOOKUP(J10, Calculations!M7:T78, IF($B$7="Plan #1", 2, IF($B$7="Plan #2", 3, IF($B$7="Plan #3", 4, IF($B$7="Plan #4",5, IF($B$7="Plan #5", 6, IF($B$7="Plan #6", 7, IF($B$7="Plan #7", 8, 0))))))),0)</f>
        <v>30000</v>
      </c>
    </row>
    <row r="11" spans="2:12" ht="15" thickBot="1" x14ac:dyDescent="0.4">
      <c r="G11" s="7"/>
      <c r="H11" s="8"/>
      <c r="J11">
        <v>44</v>
      </c>
      <c r="K11" s="1">
        <f>VLOOKUP(J11, Calculations!M8:T79, IF($B$7="Plan #1", 2, IF($B$7="Plan #2", 3, IF($B$7="Plan #3", 4, IF($B$7="Plan #4",5, IF($B$7="Plan #5", 6, IF($B$7="Plan #6", 7, IF($B$7="Plan #7", 8, 0))))))),0)</f>
        <v>0</v>
      </c>
    </row>
    <row r="12" spans="2:12" ht="15" thickBot="1" x14ac:dyDescent="0.4">
      <c r="B12" s="4" t="s">
        <v>9</v>
      </c>
      <c r="G12" s="12" t="s">
        <v>15</v>
      </c>
      <c r="H12" s="9">
        <f>COUNTIF(K7:K77,"&lt;&gt;0")</f>
        <v>5</v>
      </c>
      <c r="J12">
        <v>45</v>
      </c>
      <c r="K12" s="1">
        <f>VLOOKUP(J12, Calculations!M9:T80, IF($B$7="Plan #1", 2, IF($B$7="Plan #2", 3, IF($B$7="Plan #3", 4, IF($B$7="Plan #4",5, IF($B$7="Plan #5", 6, IF($B$7="Plan #6", 7, IF($B$7="Plan #7", 8, 0))))))),0)</f>
        <v>30000</v>
      </c>
    </row>
    <row r="13" spans="2:12" x14ac:dyDescent="0.35">
      <c r="B13" s="5">
        <v>50</v>
      </c>
      <c r="G13" s="7"/>
      <c r="H13" s="8"/>
      <c r="J13">
        <v>46</v>
      </c>
      <c r="K13" s="1">
        <f>VLOOKUP(J13, Calculations!M10:T81, IF($B$7="Plan #1", 2, IF($B$7="Plan #2", 3, IF($B$7="Plan #3", 4, IF($B$7="Plan #4",5, IF($B$7="Plan #5", 6, IF($B$7="Plan #6", 7, IF($B$7="Plan #7", 8, 0))))))),0)</f>
        <v>0</v>
      </c>
    </row>
    <row r="14" spans="2:12" x14ac:dyDescent="0.35">
      <c r="G14" s="12" t="s">
        <v>16</v>
      </c>
      <c r="H14" s="10">
        <f>SUM(K7:K77)</f>
        <v>150000</v>
      </c>
      <c r="J14">
        <v>47</v>
      </c>
      <c r="K14" s="1">
        <f>VLOOKUP(J14, Calculations!M11:T82, IF($B$7="Plan #1", 2, IF($B$7="Plan #2", 3, IF($B$7="Plan #3", 4, IF($B$7="Plan #4",5, IF($B$7="Plan #5", 6, IF($B$7="Plan #6", 7, IF($B$7="Plan #7", 8, 0))))))),0)</f>
        <v>30000</v>
      </c>
    </row>
    <row r="15" spans="2:12" x14ac:dyDescent="0.35">
      <c r="J15">
        <v>48</v>
      </c>
      <c r="K15" s="1">
        <f>VLOOKUP(J15, Calculations!M12:T83, IF($B$7="Plan #1", 2, IF($B$7="Plan #2", 3, IF($B$7="Plan #3", 4, IF($B$7="Plan #4",5, IF($B$7="Plan #5", 6, IF($B$7="Plan #6", 7, IF($B$7="Plan #7", 8, 0))))))),0)</f>
        <v>0</v>
      </c>
    </row>
    <row r="16" spans="2:12" x14ac:dyDescent="0.35">
      <c r="J16">
        <v>49</v>
      </c>
      <c r="K16" s="1">
        <f>VLOOKUP(J16, Calculations!M13:T84, IF($B$7="Plan #1", 2, IF($B$7="Plan #2", 3, IF($B$7="Plan #3", 4, IF($B$7="Plan #4",5, IF($B$7="Plan #5", 6, IF($B$7="Plan #6", 7, IF($B$7="Plan #7", 8, 0))))))),0)</f>
        <v>30000</v>
      </c>
    </row>
    <row r="17" spans="10:11" x14ac:dyDescent="0.35">
      <c r="J17">
        <v>50</v>
      </c>
      <c r="K17" s="1">
        <f>VLOOKUP(J17, Calculations!M14:T85, IF($B$7="Plan #1", 2, IF($B$7="Plan #2", 3, IF($B$7="Plan #3", 4, IF($B$7="Plan #4",5, IF($B$7="Plan #5", 6, IF($B$7="Plan #6", 7, IF($B$7="Plan #7", 8, 0))))))),0)</f>
        <v>0</v>
      </c>
    </row>
    <row r="18" spans="10:11" x14ac:dyDescent="0.35">
      <c r="J18">
        <v>51</v>
      </c>
      <c r="K18" s="1">
        <f>VLOOKUP(J18, Calculations!M15:T86, IF($B$7="Plan #1", 2, IF($B$7="Plan #2", 3, IF($B$7="Plan #3", 4, IF($B$7="Plan #4",5, IF($B$7="Plan #5", 6, IF($B$7="Plan #6", 7, IF($B$7="Plan #7", 8, 0))))))),0)</f>
        <v>0</v>
      </c>
    </row>
    <row r="19" spans="10:11" x14ac:dyDescent="0.35">
      <c r="J19">
        <v>52</v>
      </c>
      <c r="K19" s="1">
        <f>VLOOKUP(J19, Calculations!M16:T87, IF($B$7="Plan #1", 2, IF($B$7="Plan #2", 3, IF($B$7="Plan #3", 4, IF($B$7="Plan #4",5, IF($B$7="Plan #5", 6, IF($B$7="Plan #6", 7, IF($B$7="Plan #7", 8, 0))))))),0)</f>
        <v>0</v>
      </c>
    </row>
    <row r="20" spans="10:11" x14ac:dyDescent="0.35">
      <c r="J20">
        <v>53</v>
      </c>
      <c r="K20" s="1">
        <f>VLOOKUP(J20, Calculations!M17:T88, IF($B$7="Plan #1", 2, IF($B$7="Plan #2", 3, IF($B$7="Plan #3", 4, IF($B$7="Plan #4",5, IF($B$7="Plan #5", 6, IF($B$7="Plan #6", 7, IF($B$7="Plan #7", 8, 0))))))),0)</f>
        <v>0</v>
      </c>
    </row>
    <row r="21" spans="10:11" x14ac:dyDescent="0.35">
      <c r="J21">
        <v>54</v>
      </c>
      <c r="K21" s="1">
        <f>VLOOKUP(J21, Calculations!M18:T89, IF($B$7="Plan #1", 2, IF($B$7="Plan #2", 3, IF($B$7="Plan #3", 4, IF($B$7="Plan #4",5, IF($B$7="Plan #5", 6, IF($B$7="Plan #6", 7, IF($B$7="Plan #7", 8, 0))))))),0)</f>
        <v>0</v>
      </c>
    </row>
    <row r="22" spans="10:11" x14ac:dyDescent="0.35">
      <c r="J22">
        <v>55</v>
      </c>
      <c r="K22" s="1">
        <f>VLOOKUP(J22, Calculations!M19:T90, IF($B$7="Plan #1", 2, IF($B$7="Plan #2", 3, IF($B$7="Plan #3", 4, IF($B$7="Plan #4",5, IF($B$7="Plan #5", 6, IF($B$7="Plan #6", 7, IF($B$7="Plan #7", 8, 0))))))),0)</f>
        <v>0</v>
      </c>
    </row>
    <row r="23" spans="10:11" x14ac:dyDescent="0.35">
      <c r="J23">
        <v>56</v>
      </c>
      <c r="K23" s="1">
        <f>VLOOKUP(J23, Calculations!M20:T91, IF($B$7="Plan #1", 2, IF($B$7="Plan #2", 3, IF($B$7="Plan #3", 4, IF($B$7="Plan #4",5, IF($B$7="Plan #5", 6, IF($B$7="Plan #6", 7, IF($B$7="Plan #7", 8, 0))))))),0)</f>
        <v>0</v>
      </c>
    </row>
    <row r="24" spans="10:11" x14ac:dyDescent="0.35">
      <c r="J24">
        <v>57</v>
      </c>
      <c r="K24" s="1">
        <f>VLOOKUP(J24, Calculations!M21:T92, IF($B$7="Plan #1", 2, IF($B$7="Plan #2", 3, IF($B$7="Plan #3", 4, IF($B$7="Plan #4",5, IF($B$7="Plan #5", 6, IF($B$7="Plan #6", 7, IF($B$7="Plan #7", 8, 0))))))),0)</f>
        <v>0</v>
      </c>
    </row>
    <row r="25" spans="10:11" x14ac:dyDescent="0.35">
      <c r="J25">
        <v>58</v>
      </c>
      <c r="K25" s="1">
        <f>VLOOKUP(J25, Calculations!M22:T93, IF($B$7="Plan #1", 2, IF($B$7="Plan #2", 3, IF($B$7="Plan #3", 4, IF($B$7="Plan #4",5, IF($B$7="Plan #5", 6, IF($B$7="Plan #6", 7, IF($B$7="Plan #7", 8, 0))))))),0)</f>
        <v>0</v>
      </c>
    </row>
    <row r="26" spans="10:11" x14ac:dyDescent="0.35">
      <c r="J26">
        <v>59</v>
      </c>
      <c r="K26" s="1">
        <f>VLOOKUP(J26, Calculations!M23:T94, IF($B$7="Plan #1", 2, IF($B$7="Plan #2", 3, IF($B$7="Plan #3", 4, IF($B$7="Plan #4",5, IF($B$7="Plan #5", 6, IF($B$7="Plan #6", 7, IF($B$7="Plan #7", 8, 0))))))),0)</f>
        <v>0</v>
      </c>
    </row>
    <row r="27" spans="10:11" x14ac:dyDescent="0.35">
      <c r="J27">
        <v>60</v>
      </c>
      <c r="K27" s="1">
        <f>VLOOKUP(J27, Calculations!M24:T95, IF($B$7="Plan #1", 2, IF($B$7="Plan #2", 3, IF($B$7="Plan #3", 4, IF($B$7="Plan #4",5, IF($B$7="Plan #5", 6, IF($B$7="Plan #6", 7, IF($B$7="Plan #7", 8, 0))))))),0)</f>
        <v>0</v>
      </c>
    </row>
    <row r="28" spans="10:11" x14ac:dyDescent="0.35">
      <c r="J28">
        <v>61</v>
      </c>
      <c r="K28" s="1">
        <f>VLOOKUP(J28, Calculations!M25:T96, IF($B$7="Plan #1", 2, IF($B$7="Plan #2", 3, IF($B$7="Plan #3", 4, IF($B$7="Plan #4",5, IF($B$7="Plan #5", 6, IF($B$7="Plan #6", 7, IF($B$7="Plan #7", 8, 0))))))),0)</f>
        <v>0</v>
      </c>
    </row>
    <row r="29" spans="10:11" x14ac:dyDescent="0.35">
      <c r="J29">
        <v>62</v>
      </c>
      <c r="K29" s="1">
        <f>VLOOKUP(J29, Calculations!M26:T97, IF($B$7="Plan #1", 2, IF($B$7="Plan #2", 3, IF($B$7="Plan #3", 4, IF($B$7="Plan #4",5, IF($B$7="Plan #5", 6, IF($B$7="Plan #6", 7, IF($B$7="Plan #7", 8, 0))))))),0)</f>
        <v>0</v>
      </c>
    </row>
    <row r="30" spans="10:11" x14ac:dyDescent="0.35">
      <c r="J30">
        <v>63</v>
      </c>
      <c r="K30" s="1">
        <f>VLOOKUP(J30, Calculations!M27:T98, IF($B$7="Plan #1", 2, IF($B$7="Plan #2", 3, IF($B$7="Plan #3", 4, IF($B$7="Plan #4",5, IF($B$7="Plan #5", 6, IF($B$7="Plan #6", 7, IF($B$7="Plan #7", 8, 0))))))),0)</f>
        <v>0</v>
      </c>
    </row>
    <row r="31" spans="10:11" x14ac:dyDescent="0.35">
      <c r="J31">
        <v>64</v>
      </c>
      <c r="K31" s="1">
        <f>VLOOKUP(J31, Calculations!M28:T99, IF($B$7="Plan #1", 2, IF($B$7="Plan #2", 3, IF($B$7="Plan #3", 4, IF($B$7="Plan #4",5, IF($B$7="Plan #5", 6, IF($B$7="Plan #6", 7, IF($B$7="Plan #7", 8, 0))))))),0)</f>
        <v>0</v>
      </c>
    </row>
    <row r="32" spans="10:11" x14ac:dyDescent="0.35">
      <c r="J32">
        <v>65</v>
      </c>
      <c r="K32" s="1">
        <f>VLOOKUP(J32, Calculations!M29:T100, IF($B$7="Plan #1", 2, IF($B$7="Plan #2", 3, IF($B$7="Plan #3", 4, IF($B$7="Plan #4",5, IF($B$7="Plan #5", 6, IF($B$7="Plan #6", 7, IF($B$7="Plan #7", 8, 0))))))),0)</f>
        <v>0</v>
      </c>
    </row>
    <row r="33" spans="10:11" x14ac:dyDescent="0.35">
      <c r="J33">
        <v>66</v>
      </c>
      <c r="K33" s="1">
        <f>VLOOKUP(J33, Calculations!M30:T101, IF($B$7="Plan #1", 2, IF($B$7="Plan #2", 3, IF($B$7="Plan #3", 4, IF($B$7="Plan #4",5, IF($B$7="Plan #5", 6, IF($B$7="Plan #6", 7, IF($B$7="Plan #7", 8, 0))))))),0)</f>
        <v>0</v>
      </c>
    </row>
    <row r="34" spans="10:11" x14ac:dyDescent="0.35">
      <c r="J34">
        <v>67</v>
      </c>
      <c r="K34" s="1">
        <f>VLOOKUP(J34, Calculations!M31:T102, IF($B$7="Plan #1", 2, IF($B$7="Plan #2", 3, IF($B$7="Plan #3", 4, IF($B$7="Plan #4",5, IF($B$7="Plan #5", 6, IF($B$7="Plan #6", 7, IF($B$7="Plan #7", 8, 0))))))),0)</f>
        <v>0</v>
      </c>
    </row>
    <row r="35" spans="10:11" x14ac:dyDescent="0.35">
      <c r="J35">
        <v>68</v>
      </c>
      <c r="K35" s="1">
        <f>VLOOKUP(J35, Calculations!M32:T103, IF($B$7="Plan #1", 2, IF($B$7="Plan #2", 3, IF($B$7="Plan #3", 4, IF($B$7="Plan #4",5, IF($B$7="Plan #5", 6, IF($B$7="Plan #6", 7, IF($B$7="Plan #7", 8, 0))))))),0)</f>
        <v>0</v>
      </c>
    </row>
    <row r="36" spans="10:11" x14ac:dyDescent="0.35">
      <c r="J36">
        <v>69</v>
      </c>
      <c r="K36" s="1">
        <f>VLOOKUP(J36, Calculations!M33:T104, IF($B$7="Plan #1", 2, IF($B$7="Plan #2", 3, IF($B$7="Plan #3", 4, IF($B$7="Plan #4",5, IF($B$7="Plan #5", 6, IF($B$7="Plan #6", 7, IF($B$7="Plan #7", 8, 0))))))),0)</f>
        <v>0</v>
      </c>
    </row>
    <row r="37" spans="10:11" x14ac:dyDescent="0.35">
      <c r="J37">
        <v>70</v>
      </c>
      <c r="K37" s="1">
        <f>VLOOKUP(J37, Calculations!M34:T105, IF($B$7="Plan #1", 2, IF($B$7="Plan #2", 3, IF($B$7="Plan #3", 4, IF($B$7="Plan #4",5, IF($B$7="Plan #5", 6, IF($B$7="Plan #6", 7, IF($B$7="Plan #7", 8, 0))))))),0)</f>
        <v>0</v>
      </c>
    </row>
    <row r="38" spans="10:11" x14ac:dyDescent="0.35">
      <c r="J38">
        <v>71</v>
      </c>
      <c r="K38" s="1">
        <f>VLOOKUP(J38, Calculations!M35:T106, IF($B$7="Plan #1", 2, IF($B$7="Plan #2", 3, IF($B$7="Plan #3", 4, IF($B$7="Plan #4",5, IF($B$7="Plan #5", 6, IF($B$7="Plan #6", 7, IF($B$7="Plan #7", 8, 0))))))),0)</f>
        <v>0</v>
      </c>
    </row>
    <row r="39" spans="10:11" x14ac:dyDescent="0.35">
      <c r="J39">
        <v>72</v>
      </c>
      <c r="K39" s="1">
        <f>VLOOKUP(J39, Calculations!M36:T107, IF($B$7="Plan #1", 2, IF($B$7="Plan #2", 3, IF($B$7="Plan #3", 4, IF($B$7="Plan #4",5, IF($B$7="Plan #5", 6, IF($B$7="Plan #6", 7, IF($B$7="Plan #7", 8, 0))))))),0)</f>
        <v>0</v>
      </c>
    </row>
    <row r="40" spans="10:11" x14ac:dyDescent="0.35">
      <c r="J40">
        <v>73</v>
      </c>
      <c r="K40" s="1">
        <f>VLOOKUP(J40, Calculations!M37:T108, IF($B$7="Plan #1", 2, IF($B$7="Plan #2", 3, IF($B$7="Plan #3", 4, IF($B$7="Plan #4",5, IF($B$7="Plan #5", 6, IF($B$7="Plan #6", 7, IF($B$7="Plan #7", 8, 0))))))),0)</f>
        <v>0</v>
      </c>
    </row>
    <row r="41" spans="10:11" x14ac:dyDescent="0.35">
      <c r="J41">
        <v>74</v>
      </c>
      <c r="K41" s="1">
        <f>VLOOKUP(J41, Calculations!M38:T109, IF($B$7="Plan #1", 2, IF($B$7="Plan #2", 3, IF($B$7="Plan #3", 4, IF($B$7="Plan #4",5, IF($B$7="Plan #5", 6, IF($B$7="Plan #6", 7, IF($B$7="Plan #7", 8, 0))))))),0)</f>
        <v>0</v>
      </c>
    </row>
    <row r="42" spans="10:11" x14ac:dyDescent="0.35">
      <c r="J42">
        <v>75</v>
      </c>
      <c r="K42" s="1">
        <f>VLOOKUP(J42, Calculations!M39:T110, IF($B$7="Plan #1", 2, IF($B$7="Plan #2", 3, IF($B$7="Plan #3", 4, IF($B$7="Plan #4",5, IF($B$7="Plan #5", 6, IF($B$7="Plan #6", 7, IF($B$7="Plan #7", 8, 0))))))),0)</f>
        <v>0</v>
      </c>
    </row>
    <row r="43" spans="10:11" x14ac:dyDescent="0.35">
      <c r="J43">
        <v>76</v>
      </c>
      <c r="K43" s="1">
        <f>VLOOKUP(J43, Calculations!M40:T111, IF($B$7="Plan #1", 2, IF($B$7="Plan #2", 3, IF($B$7="Plan #3", 4, IF($B$7="Plan #4",5, IF($B$7="Plan #5", 6, IF($B$7="Plan #6", 7, IF($B$7="Plan #7", 8, 0))))))),0)</f>
        <v>0</v>
      </c>
    </row>
    <row r="44" spans="10:11" x14ac:dyDescent="0.35">
      <c r="J44">
        <v>77</v>
      </c>
      <c r="K44" s="1">
        <f>VLOOKUP(J44, Calculations!M41:T112, IF($B$7="Plan #1", 2, IF($B$7="Plan #2", 3, IF($B$7="Plan #3", 4, IF($B$7="Plan #4",5, IF($B$7="Plan #5", 6, IF($B$7="Plan #6", 7, IF($B$7="Plan #7", 8, 0))))))),0)</f>
        <v>0</v>
      </c>
    </row>
    <row r="45" spans="10:11" x14ac:dyDescent="0.35">
      <c r="J45">
        <v>78</v>
      </c>
      <c r="K45" s="1">
        <f>VLOOKUP(J45, Calculations!M42:T113, IF($B$7="Plan #1", 2, IF($B$7="Plan #2", 3, IF($B$7="Plan #3", 4, IF($B$7="Plan #4",5, IF($B$7="Plan #5", 6, IF($B$7="Plan #6", 7, IF($B$7="Plan #7", 8, 0))))))),0)</f>
        <v>0</v>
      </c>
    </row>
    <row r="46" spans="10:11" x14ac:dyDescent="0.35">
      <c r="J46">
        <v>79</v>
      </c>
      <c r="K46" s="1">
        <f>VLOOKUP(J46, Calculations!M43:T114, IF($B$7="Plan #1", 2, IF($B$7="Plan #2", 3, IF($B$7="Plan #3", 4, IF($B$7="Plan #4",5, IF($B$7="Plan #5", 6, IF($B$7="Plan #6", 7, IF($B$7="Plan #7", 8, 0))))))),0)</f>
        <v>0</v>
      </c>
    </row>
    <row r="47" spans="10:11" x14ac:dyDescent="0.35">
      <c r="J47">
        <v>80</v>
      </c>
      <c r="K47" s="1">
        <f>VLOOKUP(J47, Calculations!M44:T115, IF($B$7="Plan #1", 2, IF($B$7="Plan #2", 3, IF($B$7="Plan #3", 4, IF($B$7="Plan #4",5, IF($B$7="Plan #5", 6, IF($B$7="Plan #6", 7, IF($B$7="Plan #7", 8, 0))))))),0)</f>
        <v>0</v>
      </c>
    </row>
    <row r="48" spans="10:11" x14ac:dyDescent="0.35">
      <c r="J48">
        <v>81</v>
      </c>
      <c r="K48" s="1">
        <f>VLOOKUP(J48, Calculations!M45:T116, IF($B$7="Plan #1", 2, IF($B$7="Plan #2", 3, IF($B$7="Plan #3", 4, IF($B$7="Plan #4",5, IF($B$7="Plan #5", 6, IF($B$7="Plan #6", 7, IF($B$7="Plan #7", 8, 0))))))),0)</f>
        <v>0</v>
      </c>
    </row>
    <row r="49" spans="10:11" x14ac:dyDescent="0.35">
      <c r="J49">
        <v>82</v>
      </c>
      <c r="K49" s="1">
        <f>VLOOKUP(J49, Calculations!M46:T117, IF($B$7="Plan #1", 2, IF($B$7="Plan #2", 3, IF($B$7="Plan #3", 4, IF($B$7="Plan #4",5, IF($B$7="Plan #5", 6, IF($B$7="Plan #6", 7, IF($B$7="Plan #7", 8, 0))))))),0)</f>
        <v>0</v>
      </c>
    </row>
    <row r="50" spans="10:11" x14ac:dyDescent="0.35">
      <c r="J50">
        <v>83</v>
      </c>
      <c r="K50" s="1">
        <f>VLOOKUP(J50, Calculations!M47:T118, IF($B$7="Plan #1", 2, IF($B$7="Plan #2", 3, IF($B$7="Plan #3", 4, IF($B$7="Plan #4",5, IF($B$7="Plan #5", 6, IF($B$7="Plan #6", 7, IF($B$7="Plan #7", 8, 0))))))),0)</f>
        <v>0</v>
      </c>
    </row>
    <row r="51" spans="10:11" x14ac:dyDescent="0.35">
      <c r="J51">
        <v>84</v>
      </c>
      <c r="K51" s="1">
        <f>VLOOKUP(J51, Calculations!M48:T119, IF($B$7="Plan #1", 2, IF($B$7="Plan #2", 3, IF($B$7="Plan #3", 4, IF($B$7="Plan #4",5, IF($B$7="Plan #5", 6, IF($B$7="Plan #6", 7, IF($B$7="Plan #7", 8, 0))))))),0)</f>
        <v>0</v>
      </c>
    </row>
    <row r="52" spans="10:11" x14ac:dyDescent="0.35">
      <c r="J52">
        <v>85</v>
      </c>
      <c r="K52" s="1">
        <f>VLOOKUP(J52, Calculations!M49:T120, IF($B$7="Plan #1", 2, IF($B$7="Plan #2", 3, IF($B$7="Plan #3", 4, IF($B$7="Plan #4",5, IF($B$7="Plan #5", 6, IF($B$7="Plan #6", 7, IF($B$7="Plan #7", 8, 0))))))),0)</f>
        <v>0</v>
      </c>
    </row>
    <row r="53" spans="10:11" x14ac:dyDescent="0.35">
      <c r="J53">
        <v>86</v>
      </c>
      <c r="K53" s="1">
        <f>VLOOKUP(J53, Calculations!M50:T121, IF($B$7="Plan #1", 2, IF($B$7="Plan #2", 3, IF($B$7="Plan #3", 4, IF($B$7="Plan #4",5, IF($B$7="Plan #5", 6, IF($B$7="Plan #6", 7, IF($B$7="Plan #7", 8, 0))))))),0)</f>
        <v>0</v>
      </c>
    </row>
    <row r="54" spans="10:11" x14ac:dyDescent="0.35">
      <c r="J54">
        <v>87</v>
      </c>
      <c r="K54" s="1">
        <f>VLOOKUP(J54, Calculations!M51:T122, IF($B$7="Plan #1", 2, IF($B$7="Plan #2", 3, IF($B$7="Plan #3", 4, IF($B$7="Plan #4",5, IF($B$7="Plan #5", 6, IF($B$7="Plan #6", 7, IF($B$7="Plan #7", 8, 0))))))),0)</f>
        <v>0</v>
      </c>
    </row>
    <row r="55" spans="10:11" x14ac:dyDescent="0.35">
      <c r="J55">
        <v>88</v>
      </c>
      <c r="K55" s="1">
        <f>VLOOKUP(J55, Calculations!M52:T123, IF($B$7="Plan #1", 2, IF($B$7="Plan #2", 3, IF($B$7="Plan #3", 4, IF($B$7="Plan #4",5, IF($B$7="Plan #5", 6, IF($B$7="Plan #6", 7, IF($B$7="Plan #7", 8, 0))))))),0)</f>
        <v>0</v>
      </c>
    </row>
    <row r="56" spans="10:11" x14ac:dyDescent="0.35">
      <c r="J56">
        <v>89</v>
      </c>
      <c r="K56" s="1">
        <f>VLOOKUP(J56, Calculations!M53:T124, IF($B$7="Plan #1", 2, IF($B$7="Plan #2", 3, IF($B$7="Plan #3", 4, IF($B$7="Plan #4",5, IF($B$7="Plan #5", 6, IF($B$7="Plan #6", 7, IF($B$7="Plan #7", 8, 0))))))),0)</f>
        <v>0</v>
      </c>
    </row>
    <row r="57" spans="10:11" x14ac:dyDescent="0.35">
      <c r="J57">
        <v>90</v>
      </c>
      <c r="K57" s="1">
        <f>VLOOKUP(J57, Calculations!M54:T125, IF($B$7="Plan #1", 2, IF($B$7="Plan #2", 3, IF($B$7="Plan #3", 4, IF($B$7="Plan #4",5, IF($B$7="Plan #5", 6, IF($B$7="Plan #6", 7, IF($B$7="Plan #7", 8, 0))))))),0)</f>
        <v>0</v>
      </c>
    </row>
    <row r="58" spans="10:11" x14ac:dyDescent="0.35">
      <c r="J58">
        <v>91</v>
      </c>
      <c r="K58" s="1">
        <f>VLOOKUP(J58, Calculations!M55:T126, IF($B$7="Plan #1", 2, IF($B$7="Plan #2", 3, IF($B$7="Plan #3", 4, IF($B$7="Plan #4",5, IF($B$7="Plan #5", 6, IF($B$7="Plan #6", 7, IF($B$7="Plan #7", 8, 0))))))),0)</f>
        <v>0</v>
      </c>
    </row>
    <row r="59" spans="10:11" x14ac:dyDescent="0.35">
      <c r="J59">
        <v>92</v>
      </c>
      <c r="K59" s="1">
        <f>VLOOKUP(J59, Calculations!M56:T127, IF($B$7="Plan #1", 2, IF($B$7="Plan #2", 3, IF($B$7="Plan #3", 4, IF($B$7="Plan #4",5, IF($B$7="Plan #5", 6, IF($B$7="Plan #6", 7, IF($B$7="Plan #7", 8, 0))))))),0)</f>
        <v>0</v>
      </c>
    </row>
    <row r="60" spans="10:11" x14ac:dyDescent="0.35">
      <c r="J60">
        <v>93</v>
      </c>
      <c r="K60" s="1">
        <f>VLOOKUP(J60, Calculations!M57:T128, IF($B$7="Plan #1", 2, IF($B$7="Plan #2", 3, IF($B$7="Plan #3", 4, IF($B$7="Plan #4",5, IF($B$7="Plan #5", 6, IF($B$7="Plan #6", 7, IF($B$7="Plan #7", 8, 0))))))),0)</f>
        <v>0</v>
      </c>
    </row>
    <row r="61" spans="10:11" x14ac:dyDescent="0.35">
      <c r="J61">
        <v>94</v>
      </c>
      <c r="K61" s="1">
        <f>VLOOKUP(J61, Calculations!M58:T129, IF($B$7="Plan #1", 2, IF($B$7="Plan #2", 3, IF($B$7="Plan #3", 4, IF($B$7="Plan #4",5, IF($B$7="Plan #5", 6, IF($B$7="Plan #6", 7, IF($B$7="Plan #7", 8, 0))))))),0)</f>
        <v>0</v>
      </c>
    </row>
    <row r="62" spans="10:11" x14ac:dyDescent="0.35">
      <c r="J62">
        <v>95</v>
      </c>
      <c r="K62" s="1">
        <f>VLOOKUP(J62, Calculations!M59:T130, IF($B$7="Plan #1", 2, IF($B$7="Plan #2", 3, IF($B$7="Plan #3", 4, IF($B$7="Plan #4",5, IF($B$7="Plan #5", 6, IF($B$7="Plan #6", 7, IF($B$7="Plan #7", 8, 0))))))),0)</f>
        <v>0</v>
      </c>
    </row>
    <row r="63" spans="10:11" x14ac:dyDescent="0.35">
      <c r="J63">
        <v>96</v>
      </c>
      <c r="K63" s="1">
        <f>VLOOKUP(J63, Calculations!M60:T131, IF($B$7="Plan #1", 2, IF($B$7="Plan #2", 3, IF($B$7="Plan #3", 4, IF($B$7="Plan #4",5, IF($B$7="Plan #5", 6, IF($B$7="Plan #6", 7, IF($B$7="Plan #7", 8, 0))))))),0)</f>
        <v>0</v>
      </c>
    </row>
    <row r="64" spans="10:11" x14ac:dyDescent="0.35">
      <c r="J64">
        <v>97</v>
      </c>
      <c r="K64" s="1">
        <f>VLOOKUP(J64, Calculations!M61:T132, IF($B$7="Plan #1", 2, IF($B$7="Plan #2", 3, IF($B$7="Plan #3", 4, IF($B$7="Plan #4",5, IF($B$7="Plan #5", 6, IF($B$7="Plan #6", 7, IF($B$7="Plan #7", 8, 0))))))),0)</f>
        <v>0</v>
      </c>
    </row>
    <row r="65" spans="10:11" x14ac:dyDescent="0.35">
      <c r="J65">
        <v>98</v>
      </c>
      <c r="K65" s="1">
        <f>VLOOKUP(J65, Calculations!M62:T133, IF($B$7="Plan #1", 2, IF($B$7="Plan #2", 3, IF($B$7="Plan #3", 4, IF($B$7="Plan #4",5, IF($B$7="Plan #5", 6, IF($B$7="Plan #6", 7, IF($B$7="Plan #7", 8, 0))))))),0)</f>
        <v>0</v>
      </c>
    </row>
    <row r="66" spans="10:11" x14ac:dyDescent="0.35">
      <c r="J66">
        <v>99</v>
      </c>
      <c r="K66" s="1">
        <f>VLOOKUP(J66, Calculations!M63:T134, IF($B$7="Plan #1", 2, IF($B$7="Plan #2", 3, IF($B$7="Plan #3", 4, IF($B$7="Plan #4",5, IF($B$7="Plan #5", 6, IF($B$7="Plan #6", 7, IF($B$7="Plan #7", 8, 0))))))),0)</f>
        <v>0</v>
      </c>
    </row>
    <row r="67" spans="10:11" x14ac:dyDescent="0.35">
      <c r="J67">
        <v>100</v>
      </c>
      <c r="K67" s="1">
        <f>VLOOKUP(J67, Calculations!M64:T135, IF($B$7="Plan #1", 2, IF($B$7="Plan #2", 3, IF($B$7="Plan #3", 4, IF($B$7="Plan #4",5, IF($B$7="Plan #5", 6, IF($B$7="Plan #6", 7, IF($B$7="Plan #7", 8, 0))))))),0)</f>
        <v>0</v>
      </c>
    </row>
    <row r="68" spans="10:11" x14ac:dyDescent="0.35">
      <c r="J68">
        <v>101</v>
      </c>
      <c r="K68" s="1">
        <f>VLOOKUP(J68, Calculations!M65:T136, IF($B$7="Plan #1", 2, IF($B$7="Plan #2", 3, IF($B$7="Plan #3", 4, IF($B$7="Plan #4",5, IF($B$7="Plan #5", 6, IF($B$7="Plan #6", 7, IF($B$7="Plan #7", 8, 0))))))),0)</f>
        <v>0</v>
      </c>
    </row>
    <row r="69" spans="10:11" x14ac:dyDescent="0.35">
      <c r="J69">
        <v>102</v>
      </c>
      <c r="K69" s="1">
        <f>VLOOKUP(J69, Calculations!M66:T137, IF($B$7="Plan #1", 2, IF($B$7="Plan #2", 3, IF($B$7="Plan #3", 4, IF($B$7="Plan #4",5, IF($B$7="Plan #5", 6, IF($B$7="Plan #6", 7, IF($B$7="Plan #7", 8, 0))))))),0)</f>
        <v>0</v>
      </c>
    </row>
    <row r="70" spans="10:11" x14ac:dyDescent="0.35">
      <c r="J70">
        <v>103</v>
      </c>
      <c r="K70" s="1">
        <f>VLOOKUP(J70, Calculations!M67:T138, IF($B$7="Plan #1", 2, IF($B$7="Plan #2", 3, IF($B$7="Plan #3", 4, IF($B$7="Plan #4",5, IF($B$7="Plan #5", 6, IF($B$7="Plan #6", 7, IF($B$7="Plan #7", 8, 0))))))),0)</f>
        <v>0</v>
      </c>
    </row>
    <row r="71" spans="10:11" x14ac:dyDescent="0.35">
      <c r="J71">
        <v>104</v>
      </c>
      <c r="K71" s="1">
        <f>VLOOKUP(J71, Calculations!M68:T139, IF($B$7="Plan #1", 2, IF($B$7="Plan #2", 3, IF($B$7="Plan #3", 4, IF($B$7="Plan #4",5, IF($B$7="Plan #5", 6, IF($B$7="Plan #6", 7, IF($B$7="Plan #7", 8, 0))))))),0)</f>
        <v>0</v>
      </c>
    </row>
    <row r="72" spans="10:11" x14ac:dyDescent="0.35">
      <c r="J72">
        <v>105</v>
      </c>
      <c r="K72" s="1">
        <f>VLOOKUP(J72, Calculations!M69:T140, IF($B$7="Plan #1", 2, IF($B$7="Plan #2", 3, IF($B$7="Plan #3", 4, IF($B$7="Plan #4",5, IF($B$7="Plan #5", 6, IF($B$7="Plan #6", 7, IF($B$7="Plan #7", 8, 0))))))),0)</f>
        <v>0</v>
      </c>
    </row>
    <row r="73" spans="10:11" x14ac:dyDescent="0.35">
      <c r="J73">
        <v>106</v>
      </c>
      <c r="K73" s="1">
        <f>VLOOKUP(J73, Calculations!M70:T141, IF($B$7="Plan #1", 2, IF($B$7="Plan #2", 3, IF($B$7="Plan #3", 4, IF($B$7="Plan #4",5, IF($B$7="Plan #5", 6, IF($B$7="Plan #6", 7, IF($B$7="Plan #7", 8, 0))))))),0)</f>
        <v>0</v>
      </c>
    </row>
    <row r="74" spans="10:11" x14ac:dyDescent="0.35">
      <c r="J74">
        <v>107</v>
      </c>
      <c r="K74" s="1">
        <f>VLOOKUP(J74, Calculations!M71:T142, IF($B$7="Plan #1", 2, IF($B$7="Plan #2", 3, IF($B$7="Plan #3", 4, IF($B$7="Plan #4",5, IF($B$7="Plan #5", 6, IF($B$7="Plan #6", 7, IF($B$7="Plan #7", 8, 0))))))),0)</f>
        <v>0</v>
      </c>
    </row>
    <row r="75" spans="10:11" x14ac:dyDescent="0.35">
      <c r="J75">
        <v>108</v>
      </c>
      <c r="K75" s="1">
        <f>VLOOKUP(J75, Calculations!M72:T143, IF($B$7="Plan #1", 2, IF($B$7="Plan #2", 3, IF($B$7="Plan #3", 4, IF($B$7="Plan #4",5, IF($B$7="Plan #5", 6, IF($B$7="Plan #6", 7, IF($B$7="Plan #7", 8, 0))))))),0)</f>
        <v>0</v>
      </c>
    </row>
    <row r="76" spans="10:11" x14ac:dyDescent="0.35">
      <c r="J76">
        <v>109</v>
      </c>
      <c r="K76" s="1">
        <f>VLOOKUP(J76, Calculations!M73:T144, IF($B$7="Plan #1", 2, IF($B$7="Plan #2", 3, IF($B$7="Plan #3", 4, IF($B$7="Plan #4",5, IF($B$7="Plan #5", 6, IF($B$7="Plan #6", 7, IF($B$7="Plan #7", 8, 0))))))),0)</f>
        <v>0</v>
      </c>
    </row>
    <row r="77" spans="10:11" x14ac:dyDescent="0.35">
      <c r="J77">
        <v>110</v>
      </c>
      <c r="K77" s="1">
        <f>VLOOKUP(J77, Calculations!M74:T145, IF($B$7="Plan #1", 2, IF($B$7="Plan #2", 3, IF($B$7="Plan #3", 4, IF($B$7="Plan #4",5, IF($B$7="Plan #5", 6, IF($B$7="Plan #6", 7, IF($B$7="Plan #7", 8, 0))))))),0)</f>
        <v>0</v>
      </c>
    </row>
  </sheetData>
  <mergeCells count="1">
    <mergeCell ref="G4:L4"/>
  </mergeCells>
  <dataValidations count="2">
    <dataValidation type="whole" allowBlank="1" showInputMessage="1" showErrorMessage="1" promptTitle="Range" prompt="Whole numbers between 40 and 110" sqref="B10" xr:uid="{067324FE-B6DB-4709-83C5-8707BFEEE34F}">
      <formula1>40</formula1>
      <formula2>110</formula2>
    </dataValidation>
    <dataValidation type="whole" operator="greaterThanOrEqual" allowBlank="1" showInputMessage="1" showErrorMessage="1" errorTitle="Enter within the specified range" promptTitle="Range" prompt="Whole number greater than Age at First Payment and less than 110" sqref="B13" xr:uid="{EFEC9A71-6531-4C25-A026-E598B40F600F}">
      <formula1>B10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41A5149-58E1-4F8F-BFE6-5A768A03FBFF}">
          <x14:formula1>
            <xm:f>Calculations!$D$5:$J$5</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AD1FB-ECF0-4A0C-9056-E11067306D3B}">
  <dimension ref="C4:T76"/>
  <sheetViews>
    <sheetView workbookViewId="0">
      <selection activeCell="F12" sqref="F12"/>
    </sheetView>
  </sheetViews>
  <sheetFormatPr defaultRowHeight="14.5" x14ac:dyDescent="0.35"/>
  <cols>
    <col min="2" max="2" width="0" hidden="1" customWidth="1"/>
    <col min="3" max="3" width="18.54296875" bestFit="1" customWidth="1"/>
    <col min="9" max="9" width="8.7265625" customWidth="1"/>
    <col min="11" max="11" width="8.7265625" hidden="1" customWidth="1"/>
    <col min="12" max="12" width="3.36328125" customWidth="1"/>
    <col min="13" max="13" width="8.7265625" customWidth="1"/>
    <col min="14" max="20" width="14.6328125" customWidth="1"/>
  </cols>
  <sheetData>
    <row r="4" spans="3:20" x14ac:dyDescent="0.35">
      <c r="M4" t="s">
        <v>0</v>
      </c>
      <c r="N4" t="s">
        <v>1</v>
      </c>
      <c r="O4" t="s">
        <v>2</v>
      </c>
      <c r="P4" t="s">
        <v>3</v>
      </c>
      <c r="Q4" t="s">
        <v>4</v>
      </c>
      <c r="R4" t="s">
        <v>5</v>
      </c>
      <c r="S4" t="s">
        <v>21</v>
      </c>
      <c r="T4" t="s">
        <v>22</v>
      </c>
    </row>
    <row r="5" spans="3:20" x14ac:dyDescent="0.35">
      <c r="D5" t="s">
        <v>1</v>
      </c>
      <c r="E5" t="s">
        <v>2</v>
      </c>
      <c r="F5" t="s">
        <v>3</v>
      </c>
      <c r="G5" t="s">
        <v>4</v>
      </c>
      <c r="H5" t="s">
        <v>5</v>
      </c>
      <c r="I5" t="s">
        <v>21</v>
      </c>
      <c r="J5" t="s">
        <v>22</v>
      </c>
      <c r="M5">
        <v>40</v>
      </c>
      <c r="N5" s="1">
        <f t="shared" ref="N5:N36" si="0">IF(AND(M5&gt;=$D$6, M5&lt;=$D$7)=TRUE, 15000, 0)</f>
        <v>0</v>
      </c>
      <c r="O5" s="1">
        <f>IF(M5=$E$6, 25000, IF(AND(M5&gt;=66, M5&lt;=94)=TRUE, N4+1000, 0))</f>
        <v>0</v>
      </c>
      <c r="P5" s="1">
        <f t="shared" ref="P5:P36" si="1">IF(M5&gt;=$F$6, 7200, 0)</f>
        <v>0</v>
      </c>
      <c r="Q5" s="1">
        <f t="shared" ref="Q5:Q36" si="2">IF(AND(M5&gt;=$G$6, M5&lt;=$G$7)=TRUE, 1000*M5, 0)</f>
        <v>0</v>
      </c>
      <c r="R5" s="1">
        <f t="shared" ref="R5:R36" si="3">IF(AND(M5&gt;=$H$6, M5&lt;=MEDIAN($H$6,$H$7))=TRUE, 19000, IF(AND(M5&lt;=$H$7, M5&gt;=MEDIAN($H$6,$H$7))=TRUE, 25000, 0))</f>
        <v>0</v>
      </c>
      <c r="S5" s="1">
        <f t="shared" ref="S5:S36" si="4">IF(AND(M5&gt;=$I$6, M5&lt;$I$7)=TRUE, 100000 / ($I$7-$I$6), 0)</f>
        <v>0</v>
      </c>
      <c r="T5" s="1">
        <f>IF(M5=$J$6, 30000, IF(AND(M5&gt;$J$6,M5&lt;=$J$7,T4=0)=TRUE, 30000, 0))</f>
        <v>0</v>
      </c>
    </row>
    <row r="6" spans="3:20" x14ac:dyDescent="0.35">
      <c r="C6" t="s">
        <v>19</v>
      </c>
      <c r="D6">
        <f>'Illustration Tool'!$B$10</f>
        <v>41</v>
      </c>
      <c r="E6">
        <v>65</v>
      </c>
      <c r="F6">
        <f>'Illustration Tool'!$B$10</f>
        <v>41</v>
      </c>
      <c r="G6">
        <v>60</v>
      </c>
      <c r="H6">
        <f>'Illustration Tool'!$B$10</f>
        <v>41</v>
      </c>
      <c r="I6">
        <f>'Illustration Tool'!$B$10</f>
        <v>41</v>
      </c>
      <c r="J6">
        <f>'Illustration Tool'!$B$10</f>
        <v>41</v>
      </c>
      <c r="M6">
        <v>41</v>
      </c>
      <c r="N6" s="1">
        <f t="shared" si="0"/>
        <v>15000</v>
      </c>
      <c r="O6" s="1">
        <f t="shared" ref="O6:O37" si="5">IF(M6=$E$6, 25000, IF(AND(M6&gt;=66, M6&lt;=94)=TRUE, O5+1000, 0))</f>
        <v>0</v>
      </c>
      <c r="P6" s="1">
        <f t="shared" si="1"/>
        <v>7200</v>
      </c>
      <c r="Q6" s="1">
        <f t="shared" si="2"/>
        <v>0</v>
      </c>
      <c r="R6" s="1">
        <f t="shared" si="3"/>
        <v>19000</v>
      </c>
      <c r="S6" s="1">
        <f t="shared" si="4"/>
        <v>11111.111111111111</v>
      </c>
      <c r="T6" s="1">
        <f t="shared" ref="T6:T69" si="6">IF(M6=$J$6, 30000, IF(AND(M6&gt;$J$6,M6&lt;=$J$7,T5=0)=TRUE, 30000, 0))</f>
        <v>30000</v>
      </c>
    </row>
    <row r="7" spans="3:20" x14ac:dyDescent="0.35">
      <c r="C7" t="s">
        <v>20</v>
      </c>
      <c r="D7">
        <f>'Illustration Tool'!$B$13</f>
        <v>50</v>
      </c>
      <c r="E7">
        <v>94</v>
      </c>
      <c r="F7">
        <v>110</v>
      </c>
      <c r="G7">
        <v>100</v>
      </c>
      <c r="H7">
        <f>'Illustration Tool'!$B$13</f>
        <v>50</v>
      </c>
      <c r="I7">
        <f>'Illustration Tool'!$B$13</f>
        <v>50</v>
      </c>
      <c r="J7">
        <f>'Illustration Tool'!$B$13</f>
        <v>50</v>
      </c>
      <c r="M7">
        <v>42</v>
      </c>
      <c r="N7" s="1">
        <f t="shared" si="0"/>
        <v>15000</v>
      </c>
      <c r="O7" s="1">
        <f t="shared" si="5"/>
        <v>0</v>
      </c>
      <c r="P7" s="1">
        <f t="shared" si="1"/>
        <v>7200</v>
      </c>
      <c r="Q7" s="1">
        <f t="shared" si="2"/>
        <v>0</v>
      </c>
      <c r="R7" s="1">
        <f t="shared" si="3"/>
        <v>19000</v>
      </c>
      <c r="S7" s="1">
        <f t="shared" si="4"/>
        <v>11111.111111111111</v>
      </c>
      <c r="T7" s="1">
        <f t="shared" si="6"/>
        <v>0</v>
      </c>
    </row>
    <row r="8" spans="3:20" x14ac:dyDescent="0.35">
      <c r="M8">
        <v>43</v>
      </c>
      <c r="N8" s="1">
        <f t="shared" si="0"/>
        <v>15000</v>
      </c>
      <c r="O8" s="1">
        <f t="shared" si="5"/>
        <v>0</v>
      </c>
      <c r="P8" s="1">
        <f t="shared" si="1"/>
        <v>7200</v>
      </c>
      <c r="Q8" s="1">
        <f t="shared" si="2"/>
        <v>0</v>
      </c>
      <c r="R8" s="1">
        <f t="shared" si="3"/>
        <v>19000</v>
      </c>
      <c r="S8" s="1">
        <f t="shared" si="4"/>
        <v>11111.111111111111</v>
      </c>
      <c r="T8" s="1">
        <f t="shared" si="6"/>
        <v>30000</v>
      </c>
    </row>
    <row r="9" spans="3:20" x14ac:dyDescent="0.35">
      <c r="J9" t="s">
        <v>10</v>
      </c>
      <c r="M9">
        <v>44</v>
      </c>
      <c r="N9" s="1">
        <f t="shared" si="0"/>
        <v>15000</v>
      </c>
      <c r="O9" s="1">
        <f t="shared" si="5"/>
        <v>0</v>
      </c>
      <c r="P9" s="1">
        <f t="shared" si="1"/>
        <v>7200</v>
      </c>
      <c r="Q9" s="1">
        <f t="shared" si="2"/>
        <v>0</v>
      </c>
      <c r="R9" s="1">
        <f t="shared" si="3"/>
        <v>19000</v>
      </c>
      <c r="S9" s="1">
        <f t="shared" si="4"/>
        <v>11111.111111111111</v>
      </c>
      <c r="T9" s="1">
        <f t="shared" si="6"/>
        <v>0</v>
      </c>
    </row>
    <row r="10" spans="3:20" x14ac:dyDescent="0.35">
      <c r="M10">
        <v>45</v>
      </c>
      <c r="N10" s="1">
        <f t="shared" si="0"/>
        <v>15000</v>
      </c>
      <c r="O10" s="1">
        <f t="shared" si="5"/>
        <v>0</v>
      </c>
      <c r="P10" s="1">
        <f t="shared" si="1"/>
        <v>7200</v>
      </c>
      <c r="Q10" s="1">
        <f t="shared" si="2"/>
        <v>0</v>
      </c>
      <c r="R10" s="1">
        <f t="shared" si="3"/>
        <v>19000</v>
      </c>
      <c r="S10" s="1">
        <f t="shared" si="4"/>
        <v>11111.111111111111</v>
      </c>
      <c r="T10" s="1">
        <f t="shared" si="6"/>
        <v>30000</v>
      </c>
    </row>
    <row r="11" spans="3:20" x14ac:dyDescent="0.35">
      <c r="D11" t="s">
        <v>10</v>
      </c>
      <c r="M11">
        <v>46</v>
      </c>
      <c r="N11" s="1">
        <f t="shared" si="0"/>
        <v>15000</v>
      </c>
      <c r="O11" s="1">
        <f t="shared" si="5"/>
        <v>0</v>
      </c>
      <c r="P11" s="1">
        <f t="shared" si="1"/>
        <v>7200</v>
      </c>
      <c r="Q11" s="1">
        <f t="shared" si="2"/>
        <v>0</v>
      </c>
      <c r="R11" s="1">
        <f t="shared" si="3"/>
        <v>25000</v>
      </c>
      <c r="S11" s="1">
        <f t="shared" si="4"/>
        <v>11111.111111111111</v>
      </c>
      <c r="T11" s="1">
        <f t="shared" si="6"/>
        <v>0</v>
      </c>
    </row>
    <row r="12" spans="3:20" x14ac:dyDescent="0.35">
      <c r="M12">
        <v>47</v>
      </c>
      <c r="N12" s="1">
        <f t="shared" si="0"/>
        <v>15000</v>
      </c>
      <c r="O12" s="1">
        <f t="shared" si="5"/>
        <v>0</v>
      </c>
      <c r="P12" s="1">
        <f t="shared" si="1"/>
        <v>7200</v>
      </c>
      <c r="Q12" s="1">
        <f t="shared" si="2"/>
        <v>0</v>
      </c>
      <c r="R12" s="1">
        <f t="shared" si="3"/>
        <v>25000</v>
      </c>
      <c r="S12" s="1">
        <f t="shared" si="4"/>
        <v>11111.111111111111</v>
      </c>
      <c r="T12" s="1">
        <f t="shared" si="6"/>
        <v>30000</v>
      </c>
    </row>
    <row r="13" spans="3:20" x14ac:dyDescent="0.35">
      <c r="M13">
        <v>48</v>
      </c>
      <c r="N13" s="1">
        <f t="shared" si="0"/>
        <v>15000</v>
      </c>
      <c r="O13" s="1">
        <f t="shared" si="5"/>
        <v>0</v>
      </c>
      <c r="P13" s="1">
        <f t="shared" si="1"/>
        <v>7200</v>
      </c>
      <c r="Q13" s="1">
        <f t="shared" si="2"/>
        <v>0</v>
      </c>
      <c r="R13" s="1">
        <f t="shared" si="3"/>
        <v>25000</v>
      </c>
      <c r="S13" s="1">
        <f t="shared" si="4"/>
        <v>11111.111111111111</v>
      </c>
      <c r="T13" s="1">
        <f t="shared" si="6"/>
        <v>0</v>
      </c>
    </row>
    <row r="14" spans="3:20" x14ac:dyDescent="0.35">
      <c r="M14">
        <v>49</v>
      </c>
      <c r="N14" s="1">
        <f t="shared" si="0"/>
        <v>15000</v>
      </c>
      <c r="O14" s="1">
        <f t="shared" si="5"/>
        <v>0</v>
      </c>
      <c r="P14" s="1">
        <f t="shared" si="1"/>
        <v>7200</v>
      </c>
      <c r="Q14" s="1">
        <f t="shared" si="2"/>
        <v>0</v>
      </c>
      <c r="R14" s="1">
        <f t="shared" si="3"/>
        <v>25000</v>
      </c>
      <c r="S14" s="1">
        <f t="shared" si="4"/>
        <v>11111.111111111111</v>
      </c>
      <c r="T14" s="1">
        <f t="shared" si="6"/>
        <v>30000</v>
      </c>
    </row>
    <row r="15" spans="3:20" x14ac:dyDescent="0.35">
      <c r="M15">
        <v>50</v>
      </c>
      <c r="N15" s="1">
        <f t="shared" si="0"/>
        <v>15000</v>
      </c>
      <c r="O15" s="1">
        <f t="shared" si="5"/>
        <v>0</v>
      </c>
      <c r="P15" s="1">
        <f t="shared" si="1"/>
        <v>7200</v>
      </c>
      <c r="Q15" s="1">
        <f t="shared" si="2"/>
        <v>0</v>
      </c>
      <c r="R15" s="1">
        <f t="shared" si="3"/>
        <v>25000</v>
      </c>
      <c r="S15" s="1">
        <f t="shared" si="4"/>
        <v>0</v>
      </c>
      <c r="T15" s="1">
        <f t="shared" si="6"/>
        <v>0</v>
      </c>
    </row>
    <row r="16" spans="3:20" x14ac:dyDescent="0.35">
      <c r="M16">
        <v>51</v>
      </c>
      <c r="N16" s="1">
        <f t="shared" si="0"/>
        <v>0</v>
      </c>
      <c r="O16" s="1">
        <f t="shared" si="5"/>
        <v>0</v>
      </c>
      <c r="P16" s="1">
        <f t="shared" si="1"/>
        <v>7200</v>
      </c>
      <c r="Q16" s="1">
        <f t="shared" si="2"/>
        <v>0</v>
      </c>
      <c r="R16" s="1">
        <f t="shared" si="3"/>
        <v>0</v>
      </c>
      <c r="S16" s="1">
        <f t="shared" si="4"/>
        <v>0</v>
      </c>
      <c r="T16" s="1">
        <f t="shared" si="6"/>
        <v>0</v>
      </c>
    </row>
    <row r="17" spans="13:20" x14ac:dyDescent="0.35">
      <c r="M17">
        <v>52</v>
      </c>
      <c r="N17" s="1">
        <f t="shared" si="0"/>
        <v>0</v>
      </c>
      <c r="O17" s="1">
        <f t="shared" si="5"/>
        <v>0</v>
      </c>
      <c r="P17" s="1">
        <f t="shared" si="1"/>
        <v>7200</v>
      </c>
      <c r="Q17" s="1">
        <f t="shared" si="2"/>
        <v>0</v>
      </c>
      <c r="R17" s="1">
        <f t="shared" si="3"/>
        <v>0</v>
      </c>
      <c r="S17" s="1">
        <f t="shared" si="4"/>
        <v>0</v>
      </c>
      <c r="T17" s="1">
        <f t="shared" si="6"/>
        <v>0</v>
      </c>
    </row>
    <row r="18" spans="13:20" x14ac:dyDescent="0.35">
      <c r="M18">
        <v>53</v>
      </c>
      <c r="N18" s="1">
        <f t="shared" si="0"/>
        <v>0</v>
      </c>
      <c r="O18" s="1">
        <f t="shared" si="5"/>
        <v>0</v>
      </c>
      <c r="P18" s="1">
        <f t="shared" si="1"/>
        <v>7200</v>
      </c>
      <c r="Q18" s="1">
        <f t="shared" si="2"/>
        <v>0</v>
      </c>
      <c r="R18" s="1">
        <f t="shared" si="3"/>
        <v>0</v>
      </c>
      <c r="S18" s="1">
        <f t="shared" si="4"/>
        <v>0</v>
      </c>
      <c r="T18" s="1">
        <f t="shared" si="6"/>
        <v>0</v>
      </c>
    </row>
    <row r="19" spans="13:20" x14ac:dyDescent="0.35">
      <c r="M19">
        <v>54</v>
      </c>
      <c r="N19" s="1">
        <f t="shared" si="0"/>
        <v>0</v>
      </c>
      <c r="O19" s="1">
        <f t="shared" si="5"/>
        <v>0</v>
      </c>
      <c r="P19" s="1">
        <f t="shared" si="1"/>
        <v>7200</v>
      </c>
      <c r="Q19" s="1">
        <f t="shared" si="2"/>
        <v>0</v>
      </c>
      <c r="R19" s="1">
        <f t="shared" si="3"/>
        <v>0</v>
      </c>
      <c r="S19" s="1">
        <f t="shared" si="4"/>
        <v>0</v>
      </c>
      <c r="T19" s="1">
        <f t="shared" si="6"/>
        <v>0</v>
      </c>
    </row>
    <row r="20" spans="13:20" x14ac:dyDescent="0.35">
      <c r="M20">
        <v>55</v>
      </c>
      <c r="N20" s="1">
        <f t="shared" si="0"/>
        <v>0</v>
      </c>
      <c r="O20" s="1">
        <f t="shared" si="5"/>
        <v>0</v>
      </c>
      <c r="P20" s="1">
        <f t="shared" si="1"/>
        <v>7200</v>
      </c>
      <c r="Q20" s="1">
        <f t="shared" si="2"/>
        <v>0</v>
      </c>
      <c r="R20" s="1">
        <f t="shared" si="3"/>
        <v>0</v>
      </c>
      <c r="S20" s="1">
        <f t="shared" si="4"/>
        <v>0</v>
      </c>
      <c r="T20" s="1">
        <f t="shared" si="6"/>
        <v>0</v>
      </c>
    </row>
    <row r="21" spans="13:20" x14ac:dyDescent="0.35">
      <c r="M21">
        <v>56</v>
      </c>
      <c r="N21" s="1">
        <f t="shared" si="0"/>
        <v>0</v>
      </c>
      <c r="O21" s="1">
        <f t="shared" si="5"/>
        <v>0</v>
      </c>
      <c r="P21" s="1">
        <f t="shared" si="1"/>
        <v>7200</v>
      </c>
      <c r="Q21" s="1">
        <f t="shared" si="2"/>
        <v>0</v>
      </c>
      <c r="R21" s="1">
        <f t="shared" si="3"/>
        <v>0</v>
      </c>
      <c r="S21" s="1">
        <f t="shared" si="4"/>
        <v>0</v>
      </c>
      <c r="T21" s="1">
        <f t="shared" si="6"/>
        <v>0</v>
      </c>
    </row>
    <row r="22" spans="13:20" x14ac:dyDescent="0.35">
      <c r="M22">
        <v>57</v>
      </c>
      <c r="N22" s="1">
        <f t="shared" si="0"/>
        <v>0</v>
      </c>
      <c r="O22" s="1">
        <f t="shared" si="5"/>
        <v>0</v>
      </c>
      <c r="P22" s="1">
        <f t="shared" si="1"/>
        <v>7200</v>
      </c>
      <c r="Q22" s="1">
        <f t="shared" si="2"/>
        <v>0</v>
      </c>
      <c r="R22" s="1">
        <f t="shared" si="3"/>
        <v>0</v>
      </c>
      <c r="S22" s="1">
        <f t="shared" si="4"/>
        <v>0</v>
      </c>
      <c r="T22" s="1">
        <f t="shared" si="6"/>
        <v>0</v>
      </c>
    </row>
    <row r="23" spans="13:20" x14ac:dyDescent="0.35">
      <c r="M23">
        <v>58</v>
      </c>
      <c r="N23" s="1">
        <f t="shared" si="0"/>
        <v>0</v>
      </c>
      <c r="O23" s="1">
        <f t="shared" si="5"/>
        <v>0</v>
      </c>
      <c r="P23" s="1">
        <f t="shared" si="1"/>
        <v>7200</v>
      </c>
      <c r="Q23" s="1">
        <f t="shared" si="2"/>
        <v>0</v>
      </c>
      <c r="R23" s="1">
        <f t="shared" si="3"/>
        <v>0</v>
      </c>
      <c r="S23" s="1">
        <f t="shared" si="4"/>
        <v>0</v>
      </c>
      <c r="T23" s="1">
        <f t="shared" si="6"/>
        <v>0</v>
      </c>
    </row>
    <row r="24" spans="13:20" x14ac:dyDescent="0.35">
      <c r="M24">
        <v>59</v>
      </c>
      <c r="N24" s="1">
        <f t="shared" si="0"/>
        <v>0</v>
      </c>
      <c r="O24" s="1">
        <f t="shared" si="5"/>
        <v>0</v>
      </c>
      <c r="P24" s="1">
        <f t="shared" si="1"/>
        <v>7200</v>
      </c>
      <c r="Q24" s="1">
        <f t="shared" si="2"/>
        <v>0</v>
      </c>
      <c r="R24" s="1">
        <f t="shared" si="3"/>
        <v>0</v>
      </c>
      <c r="S24" s="1">
        <f t="shared" si="4"/>
        <v>0</v>
      </c>
      <c r="T24" s="1">
        <f t="shared" si="6"/>
        <v>0</v>
      </c>
    </row>
    <row r="25" spans="13:20" x14ac:dyDescent="0.35">
      <c r="M25">
        <v>60</v>
      </c>
      <c r="N25" s="1">
        <f t="shared" si="0"/>
        <v>0</v>
      </c>
      <c r="O25" s="1">
        <f t="shared" si="5"/>
        <v>0</v>
      </c>
      <c r="P25" s="1">
        <f t="shared" si="1"/>
        <v>7200</v>
      </c>
      <c r="Q25" s="1">
        <f t="shared" si="2"/>
        <v>60000</v>
      </c>
      <c r="R25" s="1">
        <f t="shared" si="3"/>
        <v>0</v>
      </c>
      <c r="S25" s="1">
        <f t="shared" si="4"/>
        <v>0</v>
      </c>
      <c r="T25" s="1">
        <f t="shared" si="6"/>
        <v>0</v>
      </c>
    </row>
    <row r="26" spans="13:20" x14ac:dyDescent="0.35">
      <c r="M26">
        <v>61</v>
      </c>
      <c r="N26" s="1">
        <f t="shared" si="0"/>
        <v>0</v>
      </c>
      <c r="O26" s="1">
        <f t="shared" si="5"/>
        <v>0</v>
      </c>
      <c r="P26" s="1">
        <f t="shared" si="1"/>
        <v>7200</v>
      </c>
      <c r="Q26" s="1">
        <f t="shared" si="2"/>
        <v>61000</v>
      </c>
      <c r="R26" s="1">
        <f t="shared" si="3"/>
        <v>0</v>
      </c>
      <c r="S26" s="1">
        <f t="shared" si="4"/>
        <v>0</v>
      </c>
      <c r="T26" s="1">
        <f t="shared" si="6"/>
        <v>0</v>
      </c>
    </row>
    <row r="27" spans="13:20" x14ac:dyDescent="0.35">
      <c r="M27">
        <v>62</v>
      </c>
      <c r="N27" s="1">
        <f t="shared" si="0"/>
        <v>0</v>
      </c>
      <c r="O27" s="1">
        <f t="shared" si="5"/>
        <v>0</v>
      </c>
      <c r="P27" s="1">
        <f t="shared" si="1"/>
        <v>7200</v>
      </c>
      <c r="Q27" s="1">
        <f t="shared" si="2"/>
        <v>62000</v>
      </c>
      <c r="R27" s="1">
        <f t="shared" si="3"/>
        <v>0</v>
      </c>
      <c r="S27" s="1">
        <f t="shared" si="4"/>
        <v>0</v>
      </c>
      <c r="T27" s="1">
        <f t="shared" si="6"/>
        <v>0</v>
      </c>
    </row>
    <row r="28" spans="13:20" x14ac:dyDescent="0.35">
      <c r="M28">
        <v>63</v>
      </c>
      <c r="N28" s="1">
        <f t="shared" si="0"/>
        <v>0</v>
      </c>
      <c r="O28" s="1">
        <f t="shared" si="5"/>
        <v>0</v>
      </c>
      <c r="P28" s="1">
        <f t="shared" si="1"/>
        <v>7200</v>
      </c>
      <c r="Q28" s="1">
        <f t="shared" si="2"/>
        <v>63000</v>
      </c>
      <c r="R28" s="1">
        <f t="shared" si="3"/>
        <v>0</v>
      </c>
      <c r="S28" s="1">
        <f t="shared" si="4"/>
        <v>0</v>
      </c>
      <c r="T28" s="1">
        <f t="shared" si="6"/>
        <v>0</v>
      </c>
    </row>
    <row r="29" spans="13:20" x14ac:dyDescent="0.35">
      <c r="M29">
        <v>64</v>
      </c>
      <c r="N29" s="1">
        <f t="shared" si="0"/>
        <v>0</v>
      </c>
      <c r="O29" s="1">
        <f t="shared" si="5"/>
        <v>0</v>
      </c>
      <c r="P29" s="1">
        <f t="shared" si="1"/>
        <v>7200</v>
      </c>
      <c r="Q29" s="1">
        <f t="shared" si="2"/>
        <v>64000</v>
      </c>
      <c r="R29" s="1">
        <f t="shared" si="3"/>
        <v>0</v>
      </c>
      <c r="S29" s="1">
        <f t="shared" si="4"/>
        <v>0</v>
      </c>
      <c r="T29" s="1">
        <f t="shared" si="6"/>
        <v>0</v>
      </c>
    </row>
    <row r="30" spans="13:20" x14ac:dyDescent="0.35">
      <c r="M30">
        <v>65</v>
      </c>
      <c r="N30" s="1">
        <f t="shared" si="0"/>
        <v>0</v>
      </c>
      <c r="O30" s="1">
        <f t="shared" si="5"/>
        <v>25000</v>
      </c>
      <c r="P30" s="1">
        <f t="shared" si="1"/>
        <v>7200</v>
      </c>
      <c r="Q30" s="1">
        <f t="shared" si="2"/>
        <v>65000</v>
      </c>
      <c r="R30" s="1">
        <f t="shared" si="3"/>
        <v>0</v>
      </c>
      <c r="S30" s="1">
        <f t="shared" si="4"/>
        <v>0</v>
      </c>
      <c r="T30" s="1">
        <f t="shared" si="6"/>
        <v>0</v>
      </c>
    </row>
    <row r="31" spans="13:20" x14ac:dyDescent="0.35">
      <c r="M31">
        <v>66</v>
      </c>
      <c r="N31" s="1">
        <f t="shared" si="0"/>
        <v>0</v>
      </c>
      <c r="O31" s="1">
        <f t="shared" si="5"/>
        <v>26000</v>
      </c>
      <c r="P31" s="1">
        <f t="shared" si="1"/>
        <v>7200</v>
      </c>
      <c r="Q31" s="1">
        <f t="shared" si="2"/>
        <v>66000</v>
      </c>
      <c r="R31" s="1">
        <f t="shared" si="3"/>
        <v>0</v>
      </c>
      <c r="S31" s="1">
        <f t="shared" si="4"/>
        <v>0</v>
      </c>
      <c r="T31" s="1">
        <f t="shared" si="6"/>
        <v>0</v>
      </c>
    </row>
    <row r="32" spans="13:20" x14ac:dyDescent="0.35">
      <c r="M32">
        <v>67</v>
      </c>
      <c r="N32" s="1">
        <f t="shared" si="0"/>
        <v>0</v>
      </c>
      <c r="O32" s="1">
        <f t="shared" si="5"/>
        <v>27000</v>
      </c>
      <c r="P32" s="1">
        <f t="shared" si="1"/>
        <v>7200</v>
      </c>
      <c r="Q32" s="1">
        <f t="shared" si="2"/>
        <v>67000</v>
      </c>
      <c r="R32" s="1">
        <f t="shared" si="3"/>
        <v>0</v>
      </c>
      <c r="S32" s="1">
        <f t="shared" si="4"/>
        <v>0</v>
      </c>
      <c r="T32" s="1">
        <f t="shared" si="6"/>
        <v>0</v>
      </c>
    </row>
    <row r="33" spans="13:20" x14ac:dyDescent="0.35">
      <c r="M33">
        <v>68</v>
      </c>
      <c r="N33" s="1">
        <f t="shared" si="0"/>
        <v>0</v>
      </c>
      <c r="O33" s="1">
        <f t="shared" si="5"/>
        <v>28000</v>
      </c>
      <c r="P33" s="1">
        <f t="shared" si="1"/>
        <v>7200</v>
      </c>
      <c r="Q33" s="1">
        <f t="shared" si="2"/>
        <v>68000</v>
      </c>
      <c r="R33" s="1">
        <f t="shared" si="3"/>
        <v>0</v>
      </c>
      <c r="S33" s="1">
        <f t="shared" si="4"/>
        <v>0</v>
      </c>
      <c r="T33" s="1">
        <f t="shared" si="6"/>
        <v>0</v>
      </c>
    </row>
    <row r="34" spans="13:20" x14ac:dyDescent="0.35">
      <c r="M34">
        <v>69</v>
      </c>
      <c r="N34" s="1">
        <f t="shared" si="0"/>
        <v>0</v>
      </c>
      <c r="O34" s="1">
        <f t="shared" si="5"/>
        <v>29000</v>
      </c>
      <c r="P34" s="1">
        <f t="shared" si="1"/>
        <v>7200</v>
      </c>
      <c r="Q34" s="1">
        <f t="shared" si="2"/>
        <v>69000</v>
      </c>
      <c r="R34" s="1">
        <f t="shared" si="3"/>
        <v>0</v>
      </c>
      <c r="S34" s="1">
        <f t="shared" si="4"/>
        <v>0</v>
      </c>
      <c r="T34" s="1">
        <f t="shared" si="6"/>
        <v>0</v>
      </c>
    </row>
    <row r="35" spans="13:20" x14ac:dyDescent="0.35">
      <c r="M35">
        <v>70</v>
      </c>
      <c r="N35" s="1">
        <f t="shared" si="0"/>
        <v>0</v>
      </c>
      <c r="O35" s="1">
        <f t="shared" si="5"/>
        <v>30000</v>
      </c>
      <c r="P35" s="1">
        <f t="shared" si="1"/>
        <v>7200</v>
      </c>
      <c r="Q35" s="1">
        <f t="shared" si="2"/>
        <v>70000</v>
      </c>
      <c r="R35" s="1">
        <f t="shared" si="3"/>
        <v>0</v>
      </c>
      <c r="S35" s="1">
        <f t="shared" si="4"/>
        <v>0</v>
      </c>
      <c r="T35" s="1">
        <f t="shared" si="6"/>
        <v>0</v>
      </c>
    </row>
    <row r="36" spans="13:20" x14ac:dyDescent="0.35">
      <c r="M36">
        <v>71</v>
      </c>
      <c r="N36" s="1">
        <f t="shared" si="0"/>
        <v>0</v>
      </c>
      <c r="O36" s="1">
        <f t="shared" si="5"/>
        <v>31000</v>
      </c>
      <c r="P36" s="1">
        <f t="shared" si="1"/>
        <v>7200</v>
      </c>
      <c r="Q36" s="1">
        <f t="shared" si="2"/>
        <v>71000</v>
      </c>
      <c r="R36" s="1">
        <f t="shared" si="3"/>
        <v>0</v>
      </c>
      <c r="S36" s="1">
        <f t="shared" si="4"/>
        <v>0</v>
      </c>
      <c r="T36" s="1">
        <f t="shared" si="6"/>
        <v>0</v>
      </c>
    </row>
    <row r="37" spans="13:20" x14ac:dyDescent="0.35">
      <c r="M37">
        <v>72</v>
      </c>
      <c r="N37" s="1">
        <f t="shared" ref="N37:N68" si="7">IF(AND(M37&gt;=$D$6, M37&lt;=$D$7)=TRUE, 15000, 0)</f>
        <v>0</v>
      </c>
      <c r="O37" s="1">
        <f t="shared" si="5"/>
        <v>32000</v>
      </c>
      <c r="P37" s="1">
        <f t="shared" ref="P37:P68" si="8">IF(M37&gt;=$F$6, 7200, 0)</f>
        <v>7200</v>
      </c>
      <c r="Q37" s="1">
        <f t="shared" ref="Q37:Q68" si="9">IF(AND(M37&gt;=$G$6, M37&lt;=$G$7)=TRUE, 1000*M37, 0)</f>
        <v>72000</v>
      </c>
      <c r="R37" s="1">
        <f t="shared" ref="R37:R68" si="10">IF(AND(M37&gt;=$H$6, M37&lt;=MEDIAN($H$6,$H$7))=TRUE, 19000, IF(AND(M37&lt;=$H$7, M37&gt;=MEDIAN($H$6,$H$7))=TRUE, 25000, 0))</f>
        <v>0</v>
      </c>
      <c r="S37" s="1">
        <f t="shared" ref="S37:S68" si="11">IF(AND(M37&gt;=$I$6, M37&lt;$I$7)=TRUE, 100000 / ($I$7-$I$6), 0)</f>
        <v>0</v>
      </c>
      <c r="T37" s="1">
        <f t="shared" si="6"/>
        <v>0</v>
      </c>
    </row>
    <row r="38" spans="13:20" x14ac:dyDescent="0.35">
      <c r="M38">
        <v>73</v>
      </c>
      <c r="N38" s="1">
        <f t="shared" si="7"/>
        <v>0</v>
      </c>
      <c r="O38" s="1">
        <f t="shared" ref="O38:O69" si="12">IF(M38=$E$6, 25000, IF(AND(M38&gt;=66, M38&lt;=94)=TRUE, O37+1000, 0))</f>
        <v>33000</v>
      </c>
      <c r="P38" s="1">
        <f t="shared" si="8"/>
        <v>7200</v>
      </c>
      <c r="Q38" s="1">
        <f t="shared" si="9"/>
        <v>73000</v>
      </c>
      <c r="R38" s="1">
        <f t="shared" si="10"/>
        <v>0</v>
      </c>
      <c r="S38" s="1">
        <f t="shared" si="11"/>
        <v>0</v>
      </c>
      <c r="T38" s="1">
        <f t="shared" si="6"/>
        <v>0</v>
      </c>
    </row>
    <row r="39" spans="13:20" x14ac:dyDescent="0.35">
      <c r="M39">
        <v>74</v>
      </c>
      <c r="N39" s="1">
        <f t="shared" si="7"/>
        <v>0</v>
      </c>
      <c r="O39" s="1">
        <f t="shared" si="12"/>
        <v>34000</v>
      </c>
      <c r="P39" s="1">
        <f t="shared" si="8"/>
        <v>7200</v>
      </c>
      <c r="Q39" s="1">
        <f t="shared" si="9"/>
        <v>74000</v>
      </c>
      <c r="R39" s="1">
        <f t="shared" si="10"/>
        <v>0</v>
      </c>
      <c r="S39" s="1">
        <f t="shared" si="11"/>
        <v>0</v>
      </c>
      <c r="T39" s="1">
        <f t="shared" si="6"/>
        <v>0</v>
      </c>
    </row>
    <row r="40" spans="13:20" x14ac:dyDescent="0.35">
      <c r="M40">
        <v>75</v>
      </c>
      <c r="N40" s="1">
        <f t="shared" si="7"/>
        <v>0</v>
      </c>
      <c r="O40" s="1">
        <f t="shared" si="12"/>
        <v>35000</v>
      </c>
      <c r="P40" s="1">
        <f t="shared" si="8"/>
        <v>7200</v>
      </c>
      <c r="Q40" s="1">
        <f t="shared" si="9"/>
        <v>75000</v>
      </c>
      <c r="R40" s="1">
        <f t="shared" si="10"/>
        <v>0</v>
      </c>
      <c r="S40" s="1">
        <f t="shared" si="11"/>
        <v>0</v>
      </c>
      <c r="T40" s="1">
        <f t="shared" si="6"/>
        <v>0</v>
      </c>
    </row>
    <row r="41" spans="13:20" x14ac:dyDescent="0.35">
      <c r="M41">
        <v>76</v>
      </c>
      <c r="N41" s="1">
        <f t="shared" si="7"/>
        <v>0</v>
      </c>
      <c r="O41" s="1">
        <f t="shared" si="12"/>
        <v>36000</v>
      </c>
      <c r="P41" s="1">
        <f t="shared" si="8"/>
        <v>7200</v>
      </c>
      <c r="Q41" s="1">
        <f t="shared" si="9"/>
        <v>76000</v>
      </c>
      <c r="R41" s="1">
        <f t="shared" si="10"/>
        <v>0</v>
      </c>
      <c r="S41" s="1">
        <f t="shared" si="11"/>
        <v>0</v>
      </c>
      <c r="T41" s="1">
        <f t="shared" si="6"/>
        <v>0</v>
      </c>
    </row>
    <row r="42" spans="13:20" x14ac:dyDescent="0.35">
      <c r="M42">
        <v>77</v>
      </c>
      <c r="N42" s="1">
        <f t="shared" si="7"/>
        <v>0</v>
      </c>
      <c r="O42" s="1">
        <f t="shared" si="12"/>
        <v>37000</v>
      </c>
      <c r="P42" s="1">
        <f t="shared" si="8"/>
        <v>7200</v>
      </c>
      <c r="Q42" s="1">
        <f t="shared" si="9"/>
        <v>77000</v>
      </c>
      <c r="R42" s="1">
        <f t="shared" si="10"/>
        <v>0</v>
      </c>
      <c r="S42" s="1">
        <f t="shared" si="11"/>
        <v>0</v>
      </c>
      <c r="T42" s="1">
        <f t="shared" si="6"/>
        <v>0</v>
      </c>
    </row>
    <row r="43" spans="13:20" x14ac:dyDescent="0.35">
      <c r="M43">
        <v>78</v>
      </c>
      <c r="N43" s="1">
        <f t="shared" si="7"/>
        <v>0</v>
      </c>
      <c r="O43" s="1">
        <f t="shared" si="12"/>
        <v>38000</v>
      </c>
      <c r="P43" s="1">
        <f t="shared" si="8"/>
        <v>7200</v>
      </c>
      <c r="Q43" s="1">
        <f t="shared" si="9"/>
        <v>78000</v>
      </c>
      <c r="R43" s="1">
        <f t="shared" si="10"/>
        <v>0</v>
      </c>
      <c r="S43" s="1">
        <f t="shared" si="11"/>
        <v>0</v>
      </c>
      <c r="T43" s="1">
        <f t="shared" si="6"/>
        <v>0</v>
      </c>
    </row>
    <row r="44" spans="13:20" x14ac:dyDescent="0.35">
      <c r="M44">
        <v>79</v>
      </c>
      <c r="N44" s="1">
        <f t="shared" si="7"/>
        <v>0</v>
      </c>
      <c r="O44" s="1">
        <f t="shared" si="12"/>
        <v>39000</v>
      </c>
      <c r="P44" s="1">
        <f t="shared" si="8"/>
        <v>7200</v>
      </c>
      <c r="Q44" s="1">
        <f t="shared" si="9"/>
        <v>79000</v>
      </c>
      <c r="R44" s="1">
        <f t="shared" si="10"/>
        <v>0</v>
      </c>
      <c r="S44" s="1">
        <f t="shared" si="11"/>
        <v>0</v>
      </c>
      <c r="T44" s="1">
        <f t="shared" si="6"/>
        <v>0</v>
      </c>
    </row>
    <row r="45" spans="13:20" x14ac:dyDescent="0.35">
      <c r="M45">
        <v>80</v>
      </c>
      <c r="N45" s="1">
        <f t="shared" si="7"/>
        <v>0</v>
      </c>
      <c r="O45" s="1">
        <f t="shared" si="12"/>
        <v>40000</v>
      </c>
      <c r="P45" s="1">
        <f t="shared" si="8"/>
        <v>7200</v>
      </c>
      <c r="Q45" s="1">
        <f t="shared" si="9"/>
        <v>80000</v>
      </c>
      <c r="R45" s="1">
        <f t="shared" si="10"/>
        <v>0</v>
      </c>
      <c r="S45" s="1">
        <f t="shared" si="11"/>
        <v>0</v>
      </c>
      <c r="T45" s="1">
        <f t="shared" si="6"/>
        <v>0</v>
      </c>
    </row>
    <row r="46" spans="13:20" x14ac:dyDescent="0.35">
      <c r="M46">
        <v>81</v>
      </c>
      <c r="N46" s="1">
        <f t="shared" si="7"/>
        <v>0</v>
      </c>
      <c r="O46" s="1">
        <f t="shared" si="12"/>
        <v>41000</v>
      </c>
      <c r="P46" s="1">
        <f t="shared" si="8"/>
        <v>7200</v>
      </c>
      <c r="Q46" s="1">
        <f t="shared" si="9"/>
        <v>81000</v>
      </c>
      <c r="R46" s="1">
        <f t="shared" si="10"/>
        <v>0</v>
      </c>
      <c r="S46" s="1">
        <f t="shared" si="11"/>
        <v>0</v>
      </c>
      <c r="T46" s="1">
        <f t="shared" si="6"/>
        <v>0</v>
      </c>
    </row>
    <row r="47" spans="13:20" x14ac:dyDescent="0.35">
      <c r="M47">
        <v>82</v>
      </c>
      <c r="N47" s="1">
        <f t="shared" si="7"/>
        <v>0</v>
      </c>
      <c r="O47" s="1">
        <f t="shared" si="12"/>
        <v>42000</v>
      </c>
      <c r="P47" s="1">
        <f t="shared" si="8"/>
        <v>7200</v>
      </c>
      <c r="Q47" s="1">
        <f t="shared" si="9"/>
        <v>82000</v>
      </c>
      <c r="R47" s="1">
        <f t="shared" si="10"/>
        <v>0</v>
      </c>
      <c r="S47" s="1">
        <f t="shared" si="11"/>
        <v>0</v>
      </c>
      <c r="T47" s="1">
        <f t="shared" si="6"/>
        <v>0</v>
      </c>
    </row>
    <row r="48" spans="13:20" x14ac:dyDescent="0.35">
      <c r="M48">
        <v>83</v>
      </c>
      <c r="N48" s="1">
        <f t="shared" si="7"/>
        <v>0</v>
      </c>
      <c r="O48" s="1">
        <f t="shared" si="12"/>
        <v>43000</v>
      </c>
      <c r="P48" s="1">
        <f t="shared" si="8"/>
        <v>7200</v>
      </c>
      <c r="Q48" s="1">
        <f t="shared" si="9"/>
        <v>83000</v>
      </c>
      <c r="R48" s="1">
        <f t="shared" si="10"/>
        <v>0</v>
      </c>
      <c r="S48" s="1">
        <f t="shared" si="11"/>
        <v>0</v>
      </c>
      <c r="T48" s="1">
        <f t="shared" si="6"/>
        <v>0</v>
      </c>
    </row>
    <row r="49" spans="13:20" x14ac:dyDescent="0.35">
      <c r="M49">
        <v>84</v>
      </c>
      <c r="N49" s="1">
        <f t="shared" si="7"/>
        <v>0</v>
      </c>
      <c r="O49" s="1">
        <f t="shared" si="12"/>
        <v>44000</v>
      </c>
      <c r="P49" s="1">
        <f t="shared" si="8"/>
        <v>7200</v>
      </c>
      <c r="Q49" s="1">
        <f t="shared" si="9"/>
        <v>84000</v>
      </c>
      <c r="R49" s="1">
        <f t="shared" si="10"/>
        <v>0</v>
      </c>
      <c r="S49" s="1">
        <f t="shared" si="11"/>
        <v>0</v>
      </c>
      <c r="T49" s="1">
        <f t="shared" si="6"/>
        <v>0</v>
      </c>
    </row>
    <row r="50" spans="13:20" x14ac:dyDescent="0.35">
      <c r="M50">
        <v>85</v>
      </c>
      <c r="N50" s="1">
        <f t="shared" si="7"/>
        <v>0</v>
      </c>
      <c r="O50" s="1">
        <f t="shared" si="12"/>
        <v>45000</v>
      </c>
      <c r="P50" s="1">
        <f t="shared" si="8"/>
        <v>7200</v>
      </c>
      <c r="Q50" s="1">
        <f t="shared" si="9"/>
        <v>85000</v>
      </c>
      <c r="R50" s="1">
        <f t="shared" si="10"/>
        <v>0</v>
      </c>
      <c r="S50" s="1">
        <f t="shared" si="11"/>
        <v>0</v>
      </c>
      <c r="T50" s="1">
        <f t="shared" si="6"/>
        <v>0</v>
      </c>
    </row>
    <row r="51" spans="13:20" x14ac:dyDescent="0.35">
      <c r="M51">
        <v>86</v>
      </c>
      <c r="N51" s="1">
        <f t="shared" si="7"/>
        <v>0</v>
      </c>
      <c r="O51" s="1">
        <f t="shared" si="12"/>
        <v>46000</v>
      </c>
      <c r="P51" s="1">
        <f t="shared" si="8"/>
        <v>7200</v>
      </c>
      <c r="Q51" s="1">
        <f t="shared" si="9"/>
        <v>86000</v>
      </c>
      <c r="R51" s="1">
        <f t="shared" si="10"/>
        <v>0</v>
      </c>
      <c r="S51" s="1">
        <f t="shared" si="11"/>
        <v>0</v>
      </c>
      <c r="T51" s="1">
        <f t="shared" si="6"/>
        <v>0</v>
      </c>
    </row>
    <row r="52" spans="13:20" x14ac:dyDescent="0.35">
      <c r="M52">
        <v>87</v>
      </c>
      <c r="N52" s="1">
        <f t="shared" si="7"/>
        <v>0</v>
      </c>
      <c r="O52" s="1">
        <f t="shared" si="12"/>
        <v>47000</v>
      </c>
      <c r="P52" s="1">
        <f t="shared" si="8"/>
        <v>7200</v>
      </c>
      <c r="Q52" s="1">
        <f t="shared" si="9"/>
        <v>87000</v>
      </c>
      <c r="R52" s="1">
        <f t="shared" si="10"/>
        <v>0</v>
      </c>
      <c r="S52" s="1">
        <f t="shared" si="11"/>
        <v>0</v>
      </c>
      <c r="T52" s="1">
        <f t="shared" si="6"/>
        <v>0</v>
      </c>
    </row>
    <row r="53" spans="13:20" x14ac:dyDescent="0.35">
      <c r="M53">
        <v>88</v>
      </c>
      <c r="N53" s="1">
        <f t="shared" si="7"/>
        <v>0</v>
      </c>
      <c r="O53" s="1">
        <f t="shared" si="12"/>
        <v>48000</v>
      </c>
      <c r="P53" s="1">
        <f t="shared" si="8"/>
        <v>7200</v>
      </c>
      <c r="Q53" s="1">
        <f t="shared" si="9"/>
        <v>88000</v>
      </c>
      <c r="R53" s="1">
        <f t="shared" si="10"/>
        <v>0</v>
      </c>
      <c r="S53" s="1">
        <f t="shared" si="11"/>
        <v>0</v>
      </c>
      <c r="T53" s="1">
        <f t="shared" si="6"/>
        <v>0</v>
      </c>
    </row>
    <row r="54" spans="13:20" x14ac:dyDescent="0.35">
      <c r="M54">
        <v>89</v>
      </c>
      <c r="N54" s="1">
        <f t="shared" si="7"/>
        <v>0</v>
      </c>
      <c r="O54" s="1">
        <f t="shared" si="12"/>
        <v>49000</v>
      </c>
      <c r="P54" s="1">
        <f t="shared" si="8"/>
        <v>7200</v>
      </c>
      <c r="Q54" s="1">
        <f t="shared" si="9"/>
        <v>89000</v>
      </c>
      <c r="R54" s="1">
        <f t="shared" si="10"/>
        <v>0</v>
      </c>
      <c r="S54" s="1">
        <f t="shared" si="11"/>
        <v>0</v>
      </c>
      <c r="T54" s="1">
        <f t="shared" si="6"/>
        <v>0</v>
      </c>
    </row>
    <row r="55" spans="13:20" x14ac:dyDescent="0.35">
      <c r="M55">
        <v>90</v>
      </c>
      <c r="N55" s="1">
        <f t="shared" si="7"/>
        <v>0</v>
      </c>
      <c r="O55" s="1">
        <f t="shared" si="12"/>
        <v>50000</v>
      </c>
      <c r="P55" s="1">
        <f t="shared" si="8"/>
        <v>7200</v>
      </c>
      <c r="Q55" s="1">
        <f t="shared" si="9"/>
        <v>90000</v>
      </c>
      <c r="R55" s="1">
        <f t="shared" si="10"/>
        <v>0</v>
      </c>
      <c r="S55" s="1">
        <f t="shared" si="11"/>
        <v>0</v>
      </c>
      <c r="T55" s="1">
        <f t="shared" si="6"/>
        <v>0</v>
      </c>
    </row>
    <row r="56" spans="13:20" x14ac:dyDescent="0.35">
      <c r="M56">
        <v>91</v>
      </c>
      <c r="N56" s="1">
        <f t="shared" si="7"/>
        <v>0</v>
      </c>
      <c r="O56" s="1">
        <f t="shared" si="12"/>
        <v>51000</v>
      </c>
      <c r="P56" s="1">
        <f t="shared" si="8"/>
        <v>7200</v>
      </c>
      <c r="Q56" s="1">
        <f t="shared" si="9"/>
        <v>91000</v>
      </c>
      <c r="R56" s="1">
        <f t="shared" si="10"/>
        <v>0</v>
      </c>
      <c r="S56" s="1">
        <f t="shared" si="11"/>
        <v>0</v>
      </c>
      <c r="T56" s="1">
        <f t="shared" si="6"/>
        <v>0</v>
      </c>
    </row>
    <row r="57" spans="13:20" x14ac:dyDescent="0.35">
      <c r="M57">
        <v>92</v>
      </c>
      <c r="N57" s="1">
        <f t="shared" si="7"/>
        <v>0</v>
      </c>
      <c r="O57" s="1">
        <f t="shared" si="12"/>
        <v>52000</v>
      </c>
      <c r="P57" s="1">
        <f t="shared" si="8"/>
        <v>7200</v>
      </c>
      <c r="Q57" s="1">
        <f t="shared" si="9"/>
        <v>92000</v>
      </c>
      <c r="R57" s="1">
        <f t="shared" si="10"/>
        <v>0</v>
      </c>
      <c r="S57" s="1">
        <f t="shared" si="11"/>
        <v>0</v>
      </c>
      <c r="T57" s="1">
        <f t="shared" si="6"/>
        <v>0</v>
      </c>
    </row>
    <row r="58" spans="13:20" x14ac:dyDescent="0.35">
      <c r="M58">
        <v>93</v>
      </c>
      <c r="N58" s="1">
        <f t="shared" si="7"/>
        <v>0</v>
      </c>
      <c r="O58" s="1">
        <f t="shared" si="12"/>
        <v>53000</v>
      </c>
      <c r="P58" s="1">
        <f t="shared" si="8"/>
        <v>7200</v>
      </c>
      <c r="Q58" s="1">
        <f t="shared" si="9"/>
        <v>93000</v>
      </c>
      <c r="R58" s="1">
        <f t="shared" si="10"/>
        <v>0</v>
      </c>
      <c r="S58" s="1">
        <f t="shared" si="11"/>
        <v>0</v>
      </c>
      <c r="T58" s="1">
        <f t="shared" si="6"/>
        <v>0</v>
      </c>
    </row>
    <row r="59" spans="13:20" x14ac:dyDescent="0.35">
      <c r="M59">
        <v>94</v>
      </c>
      <c r="N59" s="1">
        <f t="shared" si="7"/>
        <v>0</v>
      </c>
      <c r="O59" s="1">
        <f t="shared" si="12"/>
        <v>54000</v>
      </c>
      <c r="P59" s="1">
        <f t="shared" si="8"/>
        <v>7200</v>
      </c>
      <c r="Q59" s="1">
        <f t="shared" si="9"/>
        <v>94000</v>
      </c>
      <c r="R59" s="1">
        <f t="shared" si="10"/>
        <v>0</v>
      </c>
      <c r="S59" s="1">
        <f t="shared" si="11"/>
        <v>0</v>
      </c>
      <c r="T59" s="1">
        <f t="shared" si="6"/>
        <v>0</v>
      </c>
    </row>
    <row r="60" spans="13:20" x14ac:dyDescent="0.35">
      <c r="M60">
        <v>95</v>
      </c>
      <c r="N60" s="1">
        <f t="shared" si="7"/>
        <v>0</v>
      </c>
      <c r="O60" s="1">
        <f t="shared" si="12"/>
        <v>0</v>
      </c>
      <c r="P60" s="1">
        <f t="shared" si="8"/>
        <v>7200</v>
      </c>
      <c r="Q60" s="1">
        <f t="shared" si="9"/>
        <v>95000</v>
      </c>
      <c r="R60" s="1">
        <f t="shared" si="10"/>
        <v>0</v>
      </c>
      <c r="S60" s="1">
        <f t="shared" si="11"/>
        <v>0</v>
      </c>
      <c r="T60" s="1">
        <f t="shared" si="6"/>
        <v>0</v>
      </c>
    </row>
    <row r="61" spans="13:20" x14ac:dyDescent="0.35">
      <c r="M61">
        <v>96</v>
      </c>
      <c r="N61" s="1">
        <f t="shared" si="7"/>
        <v>0</v>
      </c>
      <c r="O61" s="1">
        <f t="shared" si="12"/>
        <v>0</v>
      </c>
      <c r="P61" s="1">
        <f t="shared" si="8"/>
        <v>7200</v>
      </c>
      <c r="Q61" s="1">
        <f t="shared" si="9"/>
        <v>96000</v>
      </c>
      <c r="R61" s="1">
        <f t="shared" si="10"/>
        <v>0</v>
      </c>
      <c r="S61" s="1">
        <f t="shared" si="11"/>
        <v>0</v>
      </c>
      <c r="T61" s="1">
        <f t="shared" si="6"/>
        <v>0</v>
      </c>
    </row>
    <row r="62" spans="13:20" x14ac:dyDescent="0.35">
      <c r="M62">
        <v>97</v>
      </c>
      <c r="N62" s="1">
        <f t="shared" si="7"/>
        <v>0</v>
      </c>
      <c r="O62" s="1">
        <f t="shared" si="12"/>
        <v>0</v>
      </c>
      <c r="P62" s="1">
        <f t="shared" si="8"/>
        <v>7200</v>
      </c>
      <c r="Q62" s="1">
        <f t="shared" si="9"/>
        <v>97000</v>
      </c>
      <c r="R62" s="1">
        <f t="shared" si="10"/>
        <v>0</v>
      </c>
      <c r="S62" s="1">
        <f t="shared" si="11"/>
        <v>0</v>
      </c>
      <c r="T62" s="1">
        <f t="shared" si="6"/>
        <v>0</v>
      </c>
    </row>
    <row r="63" spans="13:20" x14ac:dyDescent="0.35">
      <c r="M63">
        <v>98</v>
      </c>
      <c r="N63" s="1">
        <f t="shared" si="7"/>
        <v>0</v>
      </c>
      <c r="O63" s="1">
        <f t="shared" si="12"/>
        <v>0</v>
      </c>
      <c r="P63" s="1">
        <f t="shared" si="8"/>
        <v>7200</v>
      </c>
      <c r="Q63" s="1">
        <f t="shared" si="9"/>
        <v>98000</v>
      </c>
      <c r="R63" s="1">
        <f t="shared" si="10"/>
        <v>0</v>
      </c>
      <c r="S63" s="1">
        <f t="shared" si="11"/>
        <v>0</v>
      </c>
      <c r="T63" s="1">
        <f t="shared" si="6"/>
        <v>0</v>
      </c>
    </row>
    <row r="64" spans="13:20" x14ac:dyDescent="0.35">
      <c r="M64">
        <v>99</v>
      </c>
      <c r="N64" s="1">
        <f t="shared" si="7"/>
        <v>0</v>
      </c>
      <c r="O64" s="1">
        <f t="shared" si="12"/>
        <v>0</v>
      </c>
      <c r="P64" s="1">
        <f t="shared" si="8"/>
        <v>7200</v>
      </c>
      <c r="Q64" s="1">
        <f t="shared" si="9"/>
        <v>99000</v>
      </c>
      <c r="R64" s="1">
        <f t="shared" si="10"/>
        <v>0</v>
      </c>
      <c r="S64" s="1">
        <f t="shared" si="11"/>
        <v>0</v>
      </c>
      <c r="T64" s="1">
        <f t="shared" si="6"/>
        <v>0</v>
      </c>
    </row>
    <row r="65" spans="12:20" x14ac:dyDescent="0.35">
      <c r="M65">
        <v>100</v>
      </c>
      <c r="N65" s="1">
        <f t="shared" si="7"/>
        <v>0</v>
      </c>
      <c r="O65" s="1">
        <f t="shared" si="12"/>
        <v>0</v>
      </c>
      <c r="P65" s="1">
        <f t="shared" si="8"/>
        <v>7200</v>
      </c>
      <c r="Q65" s="1">
        <f t="shared" si="9"/>
        <v>100000</v>
      </c>
      <c r="R65" s="1">
        <f t="shared" si="10"/>
        <v>0</v>
      </c>
      <c r="S65" s="1">
        <f t="shared" si="11"/>
        <v>0</v>
      </c>
      <c r="T65" s="1">
        <f t="shared" si="6"/>
        <v>0</v>
      </c>
    </row>
    <row r="66" spans="12:20" x14ac:dyDescent="0.35">
      <c r="M66">
        <v>101</v>
      </c>
      <c r="N66" s="1">
        <f t="shared" si="7"/>
        <v>0</v>
      </c>
      <c r="O66" s="1">
        <f t="shared" si="12"/>
        <v>0</v>
      </c>
      <c r="P66" s="1">
        <f t="shared" si="8"/>
        <v>7200</v>
      </c>
      <c r="Q66" s="1">
        <f t="shared" si="9"/>
        <v>0</v>
      </c>
      <c r="R66" s="1">
        <f t="shared" si="10"/>
        <v>0</v>
      </c>
      <c r="S66" s="1">
        <f t="shared" si="11"/>
        <v>0</v>
      </c>
      <c r="T66" s="1">
        <f t="shared" si="6"/>
        <v>0</v>
      </c>
    </row>
    <row r="67" spans="12:20" x14ac:dyDescent="0.35">
      <c r="M67">
        <v>102</v>
      </c>
      <c r="N67" s="1">
        <f t="shared" si="7"/>
        <v>0</v>
      </c>
      <c r="O67" s="1">
        <f t="shared" si="12"/>
        <v>0</v>
      </c>
      <c r="P67" s="1">
        <f t="shared" si="8"/>
        <v>7200</v>
      </c>
      <c r="Q67" s="1">
        <f t="shared" si="9"/>
        <v>0</v>
      </c>
      <c r="R67" s="1">
        <f t="shared" si="10"/>
        <v>0</v>
      </c>
      <c r="S67" s="1">
        <f t="shared" si="11"/>
        <v>0</v>
      </c>
      <c r="T67" s="1">
        <f t="shared" si="6"/>
        <v>0</v>
      </c>
    </row>
    <row r="68" spans="12:20" x14ac:dyDescent="0.35">
      <c r="M68">
        <v>103</v>
      </c>
      <c r="N68" s="1">
        <f t="shared" si="7"/>
        <v>0</v>
      </c>
      <c r="O68" s="1">
        <f t="shared" si="12"/>
        <v>0</v>
      </c>
      <c r="P68" s="1">
        <f t="shared" si="8"/>
        <v>7200</v>
      </c>
      <c r="Q68" s="1">
        <f t="shared" si="9"/>
        <v>0</v>
      </c>
      <c r="R68" s="1">
        <f t="shared" si="10"/>
        <v>0</v>
      </c>
      <c r="S68" s="1">
        <f t="shared" si="11"/>
        <v>0</v>
      </c>
      <c r="T68" s="1">
        <f t="shared" si="6"/>
        <v>0</v>
      </c>
    </row>
    <row r="69" spans="12:20" x14ac:dyDescent="0.35">
      <c r="M69">
        <v>104</v>
      </c>
      <c r="N69" s="1">
        <f t="shared" ref="N69:N75" si="13">IF(AND(M69&gt;=$D$6, M69&lt;=$D$7)=TRUE, 15000, 0)</f>
        <v>0</v>
      </c>
      <c r="O69" s="1">
        <f t="shared" si="12"/>
        <v>0</v>
      </c>
      <c r="P69" s="1">
        <f t="shared" ref="P69:P75" si="14">IF(M69&gt;=$F$6, 7200, 0)</f>
        <v>7200</v>
      </c>
      <c r="Q69" s="1">
        <f t="shared" ref="Q69:Q75" si="15">IF(AND(M69&gt;=$G$6, M69&lt;=$G$7)=TRUE, 1000*M69, 0)</f>
        <v>0</v>
      </c>
      <c r="R69" s="1">
        <f t="shared" ref="R69:R75" si="16">IF(AND(M69&gt;=$H$6, M69&lt;=MEDIAN($H$6,$H$7))=TRUE, 19000, IF(AND(M69&lt;=$H$7, M69&gt;=MEDIAN($H$6,$H$7))=TRUE, 25000, 0))</f>
        <v>0</v>
      </c>
      <c r="S69" s="1">
        <f t="shared" ref="S69:S75" si="17">IF(AND(M69&gt;=$I$6, M69&lt;$I$7)=TRUE, 100000 / ($I$7-$I$6), 0)</f>
        <v>0</v>
      </c>
      <c r="T69" s="1">
        <f t="shared" si="6"/>
        <v>0</v>
      </c>
    </row>
    <row r="70" spans="12:20" x14ac:dyDescent="0.35">
      <c r="M70">
        <v>105</v>
      </c>
      <c r="N70" s="1">
        <f t="shared" si="13"/>
        <v>0</v>
      </c>
      <c r="O70" s="1">
        <f t="shared" ref="O70:O75" si="18">IF(M70=$E$6, 25000, IF(AND(M70&gt;=66, M70&lt;=94)=TRUE, O69+1000, 0))</f>
        <v>0</v>
      </c>
      <c r="P70" s="1">
        <f t="shared" si="14"/>
        <v>7200</v>
      </c>
      <c r="Q70" s="1">
        <f t="shared" si="15"/>
        <v>0</v>
      </c>
      <c r="R70" s="1">
        <f t="shared" si="16"/>
        <v>0</v>
      </c>
      <c r="S70" s="1">
        <f t="shared" si="17"/>
        <v>0</v>
      </c>
      <c r="T70" s="1">
        <f t="shared" ref="T70:T75" si="19">IF(M70=$J$6, 30000, IF(AND(M70&gt;$J$6,M70&lt;=$J$7,T69=0)=TRUE, 30000, 0))</f>
        <v>0</v>
      </c>
    </row>
    <row r="71" spans="12:20" x14ac:dyDescent="0.35">
      <c r="M71">
        <v>106</v>
      </c>
      <c r="N71" s="1">
        <f t="shared" si="13"/>
        <v>0</v>
      </c>
      <c r="O71" s="1">
        <f t="shared" si="18"/>
        <v>0</v>
      </c>
      <c r="P71" s="1">
        <f t="shared" si="14"/>
        <v>7200</v>
      </c>
      <c r="Q71" s="1">
        <f t="shared" si="15"/>
        <v>0</v>
      </c>
      <c r="R71" s="1">
        <f t="shared" si="16"/>
        <v>0</v>
      </c>
      <c r="S71" s="1">
        <f t="shared" si="17"/>
        <v>0</v>
      </c>
      <c r="T71" s="1">
        <f t="shared" si="19"/>
        <v>0</v>
      </c>
    </row>
    <row r="72" spans="12:20" x14ac:dyDescent="0.35">
      <c r="M72">
        <v>107</v>
      </c>
      <c r="N72" s="1">
        <f t="shared" si="13"/>
        <v>0</v>
      </c>
      <c r="O72" s="1">
        <f t="shared" si="18"/>
        <v>0</v>
      </c>
      <c r="P72" s="1">
        <f t="shared" si="14"/>
        <v>7200</v>
      </c>
      <c r="Q72" s="1">
        <f t="shared" si="15"/>
        <v>0</v>
      </c>
      <c r="R72" s="1">
        <f t="shared" si="16"/>
        <v>0</v>
      </c>
      <c r="S72" s="1">
        <f t="shared" si="17"/>
        <v>0</v>
      </c>
      <c r="T72" s="1">
        <f t="shared" si="19"/>
        <v>0</v>
      </c>
    </row>
    <row r="73" spans="12:20" x14ac:dyDescent="0.35">
      <c r="M73">
        <v>108</v>
      </c>
      <c r="N73" s="1">
        <f t="shared" si="13"/>
        <v>0</v>
      </c>
      <c r="O73" s="1">
        <f t="shared" si="18"/>
        <v>0</v>
      </c>
      <c r="P73" s="1">
        <f t="shared" si="14"/>
        <v>7200</v>
      </c>
      <c r="Q73" s="1">
        <f t="shared" si="15"/>
        <v>0</v>
      </c>
      <c r="R73" s="1">
        <f t="shared" si="16"/>
        <v>0</v>
      </c>
      <c r="S73" s="1">
        <f t="shared" si="17"/>
        <v>0</v>
      </c>
      <c r="T73" s="1">
        <f t="shared" si="19"/>
        <v>0</v>
      </c>
    </row>
    <row r="74" spans="12:20" x14ac:dyDescent="0.35">
      <c r="M74">
        <v>109</v>
      </c>
      <c r="N74" s="1">
        <f t="shared" si="13"/>
        <v>0</v>
      </c>
      <c r="O74" s="1">
        <f t="shared" si="18"/>
        <v>0</v>
      </c>
      <c r="P74" s="1">
        <f t="shared" si="14"/>
        <v>7200</v>
      </c>
      <c r="Q74" s="1">
        <f t="shared" si="15"/>
        <v>0</v>
      </c>
      <c r="R74" s="1">
        <f t="shared" si="16"/>
        <v>0</v>
      </c>
      <c r="S74" s="1">
        <f t="shared" si="17"/>
        <v>0</v>
      </c>
      <c r="T74" s="1">
        <f t="shared" si="19"/>
        <v>0</v>
      </c>
    </row>
    <row r="75" spans="12:20" x14ac:dyDescent="0.35">
      <c r="M75">
        <v>110</v>
      </c>
      <c r="N75" s="1">
        <f t="shared" si="13"/>
        <v>0</v>
      </c>
      <c r="O75" s="1">
        <f t="shared" si="18"/>
        <v>0</v>
      </c>
      <c r="P75" s="1">
        <f t="shared" si="14"/>
        <v>7200</v>
      </c>
      <c r="Q75" s="1">
        <f t="shared" si="15"/>
        <v>0</v>
      </c>
      <c r="R75" s="1">
        <f t="shared" si="16"/>
        <v>0</v>
      </c>
      <c r="S75" s="1">
        <f t="shared" si="17"/>
        <v>0</v>
      </c>
      <c r="T75" s="1">
        <f t="shared" si="19"/>
        <v>0</v>
      </c>
    </row>
    <row r="76" spans="12:20" x14ac:dyDescent="0.35">
      <c r="L76" s="2" t="s">
        <v>6</v>
      </c>
      <c r="N76" s="3">
        <f>SUM(N5:N75)</f>
        <v>150000</v>
      </c>
      <c r="O76" s="3">
        <f t="shared" ref="O76:T76" si="20">SUM(O5:O75)</f>
        <v>1185000</v>
      </c>
      <c r="P76" s="3">
        <f t="shared" si="20"/>
        <v>504000</v>
      </c>
      <c r="Q76" s="3">
        <f t="shared" si="20"/>
        <v>3280000</v>
      </c>
      <c r="R76" s="3">
        <f t="shared" si="20"/>
        <v>220000</v>
      </c>
      <c r="S76" s="3">
        <f t="shared" si="20"/>
        <v>100000</v>
      </c>
      <c r="T76" s="3">
        <f t="shared" si="20"/>
        <v>150000</v>
      </c>
    </row>
  </sheetData>
  <phoneticPr fontId="3"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Overview</vt:lpstr>
      <vt:lpstr>Illustration Tool</vt:lpstr>
      <vt:lpstr>Calculations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Clay Green</dc:creator>
  <cp:lastModifiedBy>Clay Green</cp:lastModifiedBy>
  <dcterms:created xsi:type="dcterms:W3CDTF">2023-01-25T13:12:47Z</dcterms:created>
  <dcterms:modified xsi:type="dcterms:W3CDTF">2023-08-14T15:49:12Z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{CD7BA29E-9A33-4A89-8653-71DD12867FAB}</vt:lpwstr>
  </property>
</Properties>
</file>