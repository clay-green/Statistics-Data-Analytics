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6b862821f9324/Documents/Development/"/>
    </mc:Choice>
  </mc:AlternateContent>
  <xr:revisionPtr revIDLastSave="0" documentId="8_{2FEF1E80-7604-4559-89DD-0382FF243CCD}" xr6:coauthVersionLast="47" xr6:coauthVersionMax="47" xr10:uidLastSave="{00000000-0000-0000-0000-000000000000}"/>
  <bookViews>
    <workbookView xWindow="-110" yWindow="-110" windowWidth="22780" windowHeight="14540" activeTab="1" xr2:uid="{4D495AA4-9BF9-42DC-B912-949781195CE0}"/>
  </bookViews>
  <sheets>
    <sheet name="Rate Tables" sheetId="3" r:id="rId1"/>
    <sheet name="Policy Data" sheetId="2" r:id="rId2"/>
    <sheet name="Premium Calc" sheetId="1" r:id="rId3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" i="3" l="1"/>
  <c r="Y6" i="3"/>
  <c r="Z6" i="3" s="1"/>
  <c r="AA6" i="3" s="1"/>
  <c r="AB6" i="3" s="1"/>
  <c r="AC6" i="3" s="1"/>
  <c r="AD6" i="3" s="1"/>
  <c r="AE6" i="3" s="1"/>
  <c r="AF6" i="3" s="1"/>
  <c r="AH6" i="3" s="1"/>
  <c r="Y7" i="3"/>
  <c r="Z7" i="3"/>
  <c r="AA7" i="3"/>
  <c r="AB7" i="3"/>
  <c r="AC7" i="3"/>
  <c r="AD7" i="3" s="1"/>
  <c r="AE7" i="3" s="1"/>
  <c r="AF7" i="3" s="1"/>
  <c r="AG7" i="3" s="1"/>
  <c r="AH7" i="3" s="1"/>
  <c r="V6" i="3"/>
  <c r="H16" i="1"/>
  <c r="I16" i="1"/>
  <c r="J16" i="1"/>
  <c r="K16" i="1"/>
  <c r="L16" i="1"/>
  <c r="M16" i="1"/>
  <c r="N16" i="1"/>
  <c r="O16" i="1"/>
  <c r="P16" i="1"/>
  <c r="Q16" i="1"/>
  <c r="G16" i="1"/>
  <c r="H13" i="1"/>
  <c r="I13" i="1"/>
  <c r="J13" i="1"/>
  <c r="K13" i="1"/>
  <c r="L13" i="1"/>
  <c r="M13" i="1"/>
  <c r="N13" i="1"/>
  <c r="O13" i="1"/>
  <c r="P13" i="1"/>
  <c r="Q13" i="1"/>
  <c r="G13" i="1"/>
  <c r="H10" i="1"/>
  <c r="I10" i="1"/>
  <c r="J10" i="1"/>
  <c r="K10" i="1"/>
  <c r="L10" i="1"/>
  <c r="M10" i="1"/>
  <c r="N10" i="1"/>
  <c r="O10" i="1"/>
  <c r="P10" i="1"/>
  <c r="Q10" i="1"/>
  <c r="G10" i="1"/>
  <c r="H5" i="1"/>
  <c r="H7" i="1" s="1"/>
  <c r="I5" i="1"/>
  <c r="I7" i="1" s="1"/>
  <c r="J5" i="1"/>
  <c r="J7" i="1" s="1"/>
  <c r="K5" i="1"/>
  <c r="K7" i="1" s="1"/>
  <c r="L5" i="1"/>
  <c r="L7" i="1" s="1"/>
  <c r="M5" i="1"/>
  <c r="M7" i="1" s="1"/>
  <c r="N5" i="1"/>
  <c r="N7" i="1" s="1"/>
  <c r="O5" i="1"/>
  <c r="O7" i="1" s="1"/>
  <c r="P5" i="1"/>
  <c r="P7" i="1" s="1"/>
  <c r="Q5" i="1"/>
  <c r="Q7" i="1" s="1"/>
  <c r="G5" i="1"/>
  <c r="G7" i="1" s="1"/>
  <c r="D19" i="3"/>
  <c r="D20" i="3"/>
  <c r="D21" i="3"/>
  <c r="D22" i="3"/>
  <c r="D18" i="3"/>
  <c r="F6" i="3"/>
  <c r="G6" i="3"/>
  <c r="H6" i="3" s="1"/>
  <c r="I6" i="3" s="1"/>
  <c r="J6" i="3" s="1"/>
  <c r="K6" i="3" s="1"/>
  <c r="L6" i="3" s="1"/>
  <c r="M6" i="3" s="1"/>
  <c r="N6" i="3" s="1"/>
  <c r="O6" i="3" s="1"/>
  <c r="P6" i="3" s="1"/>
  <c r="Q6" i="3" s="1"/>
  <c r="R6" i="3" s="1"/>
  <c r="S6" i="3" s="1"/>
  <c r="T6" i="3" s="1"/>
  <c r="U6" i="3" s="1"/>
  <c r="W6" i="3" s="1"/>
  <c r="X6" i="3" s="1"/>
  <c r="F7" i="3"/>
  <c r="G7" i="3"/>
  <c r="H7" i="3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T7" i="3" s="1"/>
  <c r="U7" i="3" s="1"/>
  <c r="V7" i="3" s="1"/>
  <c r="W7" i="3" s="1"/>
  <c r="X7" i="3" s="1"/>
  <c r="E7" i="3"/>
  <c r="E6" i="3"/>
  <c r="D7" i="3"/>
  <c r="D6" i="3"/>
  <c r="N20" i="1" l="1"/>
  <c r="N24" i="1" s="1"/>
  <c r="N28" i="1" s="1"/>
  <c r="M20" i="1"/>
  <c r="M24" i="1" s="1"/>
  <c r="M28" i="1" s="1"/>
  <c r="P20" i="1"/>
  <c r="P24" i="1" s="1"/>
  <c r="P28" i="1" s="1"/>
  <c r="H20" i="1"/>
  <c r="H24" i="1" s="1"/>
  <c r="H28" i="1" s="1"/>
  <c r="O20" i="1"/>
  <c r="O24" i="1" s="1"/>
  <c r="O28" i="1" s="1"/>
  <c r="Q20" i="1"/>
  <c r="Q24" i="1" s="1"/>
  <c r="Q28" i="1" s="1"/>
  <c r="I20" i="1"/>
  <c r="I24" i="1" s="1"/>
  <c r="I28" i="1" s="1"/>
  <c r="J20" i="1"/>
  <c r="J24" i="1" s="1"/>
  <c r="J28" i="1" s="1"/>
  <c r="G20" i="1"/>
  <c r="G24" i="1" s="1"/>
  <c r="G28" i="1" s="1"/>
  <c r="L20" i="1"/>
  <c r="L24" i="1" s="1"/>
  <c r="L28" i="1" s="1"/>
  <c r="K20" i="1"/>
  <c r="K24" i="1" s="1"/>
  <c r="K28" i="1" s="1"/>
  <c r="F31" i="1" l="1"/>
</calcChain>
</file>

<file path=xl/sharedStrings.xml><?xml version="1.0" encoding="utf-8"?>
<sst xmlns="http://schemas.openxmlformats.org/spreadsheetml/2006/main" count="563" uniqueCount="131">
  <si>
    <t xml:space="preserve"> </t>
  </si>
  <si>
    <t>Policyholder name</t>
  </si>
  <si>
    <t>Gender</t>
  </si>
  <si>
    <t>Age</t>
  </si>
  <si>
    <t>Health History</t>
  </si>
  <si>
    <t>Family Health History</t>
  </si>
  <si>
    <t>Smoking Habit</t>
  </si>
  <si>
    <t>Policyholder #1</t>
  </si>
  <si>
    <t>Policyholder #2</t>
  </si>
  <si>
    <t>Policyholder #3</t>
  </si>
  <si>
    <t>Policyholder #4</t>
  </si>
  <si>
    <t>Policyholder #5</t>
  </si>
  <si>
    <t>Policyholder #6</t>
  </si>
  <si>
    <t>Policyholder #7</t>
  </si>
  <si>
    <t>Policyholder #8</t>
  </si>
  <si>
    <t>Policyholder #9</t>
  </si>
  <si>
    <t>Policyholder #10</t>
  </si>
  <si>
    <t>Policyholder #11</t>
  </si>
  <si>
    <t>Policyholder #12</t>
  </si>
  <si>
    <t>Policyholder #13</t>
  </si>
  <si>
    <t>Policyholder #14</t>
  </si>
  <si>
    <t>Policyholder #15</t>
  </si>
  <si>
    <t>Policyholder #16</t>
  </si>
  <si>
    <t>Policyholder #17</t>
  </si>
  <si>
    <t>Policyholder #18</t>
  </si>
  <si>
    <t>Policyholder #19</t>
  </si>
  <si>
    <t>Policyholder #20</t>
  </si>
  <si>
    <t>Policyholder #21</t>
  </si>
  <si>
    <t>Policyholder #22</t>
  </si>
  <si>
    <t>Policyholder #23</t>
  </si>
  <si>
    <t>Policyholder #24</t>
  </si>
  <si>
    <t>Policyholder #25</t>
  </si>
  <si>
    <t>Policyholder #26</t>
  </si>
  <si>
    <t>Policyholder #27</t>
  </si>
  <si>
    <t>Policyholder #28</t>
  </si>
  <si>
    <t>Policyholder #29</t>
  </si>
  <si>
    <t>Policyholder #30</t>
  </si>
  <si>
    <t>Policyholder #31</t>
  </si>
  <si>
    <t>Policyholder #32</t>
  </si>
  <si>
    <t>Policyholder #33</t>
  </si>
  <si>
    <t>Policyholder #34</t>
  </si>
  <si>
    <t>Policyholder #35</t>
  </si>
  <si>
    <t>Policyholder #36</t>
  </si>
  <si>
    <t>Policyholder #37</t>
  </si>
  <si>
    <t>Policyholder #38</t>
  </si>
  <si>
    <t>Policyholder #39</t>
  </si>
  <si>
    <t>Policyholder #40</t>
  </si>
  <si>
    <t>Policyholder #41</t>
  </si>
  <si>
    <t>Policyholder #42</t>
  </si>
  <si>
    <t>Policyholder #43</t>
  </si>
  <si>
    <t>Policyholder #44</t>
  </si>
  <si>
    <t>Policyholder #45</t>
  </si>
  <si>
    <t>Policyholder #46</t>
  </si>
  <si>
    <t>Policyholder #47</t>
  </si>
  <si>
    <t>Policyholder #48</t>
  </si>
  <si>
    <t>Policyholder #49</t>
  </si>
  <si>
    <t>Policyholder #50</t>
  </si>
  <si>
    <t>Policyholder #51</t>
  </si>
  <si>
    <t>Policyholder #52</t>
  </si>
  <si>
    <t>Policyholder #53</t>
  </si>
  <si>
    <t>Policyholder #54</t>
  </si>
  <si>
    <t>Policyholder #55</t>
  </si>
  <si>
    <t>Policyholder #56</t>
  </si>
  <si>
    <t>Policyholder #57</t>
  </si>
  <si>
    <t>Policyholder #58</t>
  </si>
  <si>
    <t>Policyholder #59</t>
  </si>
  <si>
    <t>Policyholder #60</t>
  </si>
  <si>
    <t>Policyholder #61</t>
  </si>
  <si>
    <t>Policyholder #62</t>
  </si>
  <si>
    <t>Policyholder #63</t>
  </si>
  <si>
    <t>Policyholder #64</t>
  </si>
  <si>
    <t>Policyholder #65</t>
  </si>
  <si>
    <t>Policyholder #66</t>
  </si>
  <si>
    <t>Policyholder #67</t>
  </si>
  <si>
    <t>Policyholder #68</t>
  </si>
  <si>
    <t>Policyholder #69</t>
  </si>
  <si>
    <t>Policyholder #70</t>
  </si>
  <si>
    <t>Policyholder #71</t>
  </si>
  <si>
    <t>Policyholder #72</t>
  </si>
  <si>
    <t>Policyholder #73</t>
  </si>
  <si>
    <t>Policyholder #74</t>
  </si>
  <si>
    <t>Policyholder #75</t>
  </si>
  <si>
    <t>Policyholder #76</t>
  </si>
  <si>
    <t>Policyholder #77</t>
  </si>
  <si>
    <t>Policyholder #78</t>
  </si>
  <si>
    <t>Policyholder #79</t>
  </si>
  <si>
    <t>Policyholder #80</t>
  </si>
  <si>
    <t>Policyholder #81</t>
  </si>
  <si>
    <t>Policyholder #82</t>
  </si>
  <si>
    <t>Policyholder #83</t>
  </si>
  <si>
    <t>Policyholder #84</t>
  </si>
  <si>
    <t>Policyholder #85</t>
  </si>
  <si>
    <t>Policyholder #86</t>
  </si>
  <si>
    <t>Policyholder #87</t>
  </si>
  <si>
    <t>Policyholder #88</t>
  </si>
  <si>
    <t>Policyholder #89</t>
  </si>
  <si>
    <t>Policyholder #90</t>
  </si>
  <si>
    <t>Policyholder #91</t>
  </si>
  <si>
    <t>Policyholder #92</t>
  </si>
  <si>
    <t>Policyholder #93</t>
  </si>
  <si>
    <t>Policyholder #94</t>
  </si>
  <si>
    <t>Policyholder #95</t>
  </si>
  <si>
    <t>Policyholder #96</t>
  </si>
  <si>
    <t>Policyholder #97</t>
  </si>
  <si>
    <t>Policyholder #98</t>
  </si>
  <si>
    <t>Policyholder #99</t>
  </si>
  <si>
    <t>Policyholder #100</t>
  </si>
  <si>
    <t>F</t>
  </si>
  <si>
    <t>Excellent</t>
  </si>
  <si>
    <t>No</t>
  </si>
  <si>
    <t>M</t>
  </si>
  <si>
    <t>Poor</t>
  </si>
  <si>
    <t>Average</t>
  </si>
  <si>
    <t>Below Average</t>
  </si>
  <si>
    <t>Yes</t>
  </si>
  <si>
    <t>Above Average</t>
  </si>
  <si>
    <t>Smoking</t>
  </si>
  <si>
    <t>Pr</t>
  </si>
  <si>
    <t>Factor</t>
  </si>
  <si>
    <t>Input Variables</t>
  </si>
  <si>
    <t>Policy Year</t>
  </si>
  <si>
    <t>Probability</t>
  </si>
  <si>
    <t>Overall Probability of Enacting Life Insurance Policy</t>
  </si>
  <si>
    <t>Amount to be paid by insurance company ($55 for operating expenses, profit, and error each year)</t>
  </si>
  <si>
    <t>PV at Time 0</t>
  </si>
  <si>
    <t>Total Premium</t>
  </si>
  <si>
    <t>Total Prem INT = .02</t>
  </si>
  <si>
    <t>Total Prem INT = .04</t>
  </si>
  <si>
    <t>Total Prem INT = .06</t>
  </si>
  <si>
    <t>Total Prem INT = .08</t>
  </si>
  <si>
    <t>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</si>
</sst>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0" borderId="0" xfId="0" applyFont="1"/>
    <xf numFmtId="0" fontId="2" fillId="3" borderId="1" xfId="0" applyFont="1" applyFill="1" applyBorder="1"/>
    <xf numFmtId="9" fontId="0" fillId="0" borderId="1" xfId="0" applyNumberFormat="1" applyBorder="1"/>
    <xf numFmtId="0" fontId="1" fillId="4" borderId="1" xfId="0" applyFont="1" applyFill="1" applyBorder="1"/>
    <xf numFmtId="10" fontId="0" fillId="0" borderId="1" xfId="0" applyNumberFormat="1" applyBorder="1"/>
    <xf numFmtId="0" fontId="1" fillId="5" borderId="1" xfId="0" applyFont="1" applyFill="1" applyBorder="1"/>
    <xf numFmtId="0" fontId="1" fillId="6" borderId="1" xfId="0" applyFont="1" applyFill="1" applyBorder="1"/>
    <xf numFmtId="0" fontId="0" fillId="8" borderId="1" xfId="0" applyFill="1" applyBorder="1"/>
    <xf numFmtId="0" fontId="1" fillId="8" borderId="1" xfId="0" applyFont="1" applyFill="1" applyBorder="1"/>
    <xf numFmtId="0" fontId="0" fillId="7" borderId="1" xfId="0" applyFill="1" applyBorder="1" applyAlignment="1">
      <alignment horizontal="center"/>
    </xf>
    <xf numFmtId="0" fontId="1" fillId="2" borderId="2" xfId="0" applyFont="1" applyFill="1" applyBorder="1"/>
    <xf numFmtId="0" fontId="1" fillId="9" borderId="1" xfId="0" applyFont="1" applyFill="1" applyBorder="1"/>
    <xf numFmtId="0" fontId="5" fillId="5" borderId="1" xfId="0" applyFont="1" applyFill="1" applyBorder="1"/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0</xdr:row>
      <xdr:rowOff>133350</xdr:rowOff>
    </xdr:from>
    <xdr:to>
      <xdr:col>13</xdr:col>
      <xdr:colOff>171450</xdr:colOff>
      <xdr:row>4</xdr:row>
      <xdr:rowOff>76200</xdr:rowOff>
    </xdr:to>
    <xdr:sp macro="[0]!premium_calc" textlink="">
      <xdr:nvSpPr>
        <xdr:cNvPr id="2" name="Oval 1">
          <a:extLst>
            <a:ext uri="{FF2B5EF4-FFF2-40B4-BE49-F238E27FC236}">
              <a16:creationId xmlns:a16="http://schemas.microsoft.com/office/drawing/2014/main" id="{679BC8EC-F816-33F7-83E0-145E9D366369}"/>
            </a:ext>
          </a:extLst>
        </xdr:cNvPr>
        <xdr:cNvSpPr/>
      </xdr:nvSpPr>
      <xdr:spPr>
        <a:xfrm>
          <a:off x="10306050" y="133350"/>
          <a:ext cx="1295400" cy="679450"/>
        </a:xfrm>
        <a:prstGeom prst="ellipse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Calculate</a:t>
          </a:r>
          <a:r>
            <a:rPr lang="en-US" sz="1100"/>
            <a:t> </a:t>
          </a:r>
          <a:r>
            <a:rPr lang="en-US" sz="1200"/>
            <a:t>Premiums</a:t>
          </a:r>
          <a:endParaRPr lang="en-US" sz="1100"/>
        </a:p>
      </xdr:txBody>
    </xdr:sp>
    <xdr:clientData/>
  </xdr:twoCellAnchor>
  <xdr:twoCellAnchor>
    <xdr:from>
      <xdr:col>11</xdr:col>
      <xdr:colOff>184150</xdr:colOff>
      <xdr:row>5</xdr:row>
      <xdr:rowOff>19050</xdr:rowOff>
    </xdr:from>
    <xdr:to>
      <xdr:col>13</xdr:col>
      <xdr:colOff>88900</xdr:colOff>
      <xdr:row>8</xdr:row>
      <xdr:rowOff>152400</xdr:rowOff>
    </xdr:to>
    <xdr:sp macro="[0]!ClearValu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F7AAF80-8745-60B6-049F-F3CC2CC386E5}"/>
            </a:ext>
          </a:extLst>
        </xdr:cNvPr>
        <xdr:cNvSpPr/>
      </xdr:nvSpPr>
      <xdr:spPr>
        <a:xfrm>
          <a:off x="10394950" y="939800"/>
          <a:ext cx="1123950" cy="6858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Clear </a:t>
          </a:r>
        </a:p>
        <a:p>
          <a:pPr algn="ctr"/>
          <a:r>
            <a:rPr lang="en-US" sz="1100"/>
            <a:t>Premium </a:t>
          </a:r>
        </a:p>
        <a:p>
          <a:pPr algn="ctr"/>
          <a:r>
            <a:rPr lang="en-US" sz="1100"/>
            <a:t>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CCBB-550B-47EA-AD94-D6BBDEAE629A}">
  <sheetPr codeName="Sheet1"/>
  <dimension ref="C4:AH26"/>
  <sheetViews>
    <sheetView zoomScaleNormal="100" workbookViewId="0">
      <selection activeCell="G5" sqref="G5"/>
    </sheetView>
  </sheetViews>
  <sheetFormatPr defaultRowHeight="14.5" x14ac:dyDescent="0.35"/>
  <cols>
    <col min="1" max="1" width="4.26953125" customWidth="1"/>
    <col min="2" max="2" width="5.6328125" customWidth="1"/>
    <col min="3" max="3" width="18.81640625" bestFit="1" customWidth="1"/>
  </cols>
  <sheetData>
    <row r="4" spans="3:34" x14ac:dyDescent="0.35">
      <c r="D4" s="3" t="s">
        <v>3</v>
      </c>
    </row>
    <row r="5" spans="3:34" x14ac:dyDescent="0.35">
      <c r="C5" s="3" t="s">
        <v>2</v>
      </c>
      <c r="D5" s="4">
        <v>25</v>
      </c>
      <c r="E5" s="4">
        <v>26</v>
      </c>
      <c r="F5" s="4">
        <v>27</v>
      </c>
      <c r="G5" s="4">
        <v>28</v>
      </c>
      <c r="H5" s="4">
        <v>29</v>
      </c>
      <c r="I5" s="4">
        <v>30</v>
      </c>
      <c r="J5" s="4">
        <v>31</v>
      </c>
      <c r="K5" s="4">
        <v>32</v>
      </c>
      <c r="L5" s="4">
        <v>33</v>
      </c>
      <c r="M5" s="4">
        <v>34</v>
      </c>
      <c r="N5" s="4">
        <v>35</v>
      </c>
      <c r="O5" s="4">
        <v>36</v>
      </c>
      <c r="P5" s="4">
        <v>37</v>
      </c>
      <c r="Q5" s="4">
        <v>38</v>
      </c>
      <c r="R5" s="4">
        <v>39</v>
      </c>
      <c r="S5" s="4">
        <v>40</v>
      </c>
      <c r="T5" s="4">
        <v>41</v>
      </c>
      <c r="U5" s="4">
        <v>42</v>
      </c>
      <c r="V5" s="4">
        <v>43</v>
      </c>
      <c r="W5" s="4">
        <v>44</v>
      </c>
      <c r="X5" s="4">
        <v>45</v>
      </c>
      <c r="Y5" s="4">
        <v>46</v>
      </c>
      <c r="Z5" s="4">
        <v>47</v>
      </c>
      <c r="AA5" s="4">
        <v>48</v>
      </c>
      <c r="AB5" s="4">
        <v>49</v>
      </c>
      <c r="AC5" s="4">
        <v>50</v>
      </c>
      <c r="AD5" s="4">
        <v>51</v>
      </c>
      <c r="AE5" s="4">
        <v>52</v>
      </c>
      <c r="AF5" s="4">
        <v>53</v>
      </c>
      <c r="AG5" s="4">
        <v>54</v>
      </c>
      <c r="AH5" s="4">
        <v>55</v>
      </c>
    </row>
    <row r="6" spans="3:34" x14ac:dyDescent="0.35">
      <c r="C6" s="4" t="s">
        <v>110</v>
      </c>
      <c r="D6" s="1">
        <f>0.05</f>
        <v>0.05</v>
      </c>
      <c r="E6" s="1">
        <f>D6+0.001</f>
        <v>5.1000000000000004E-2</v>
      </c>
      <c r="F6" s="1">
        <f t="shared" ref="F6:X6" si="0">E6+0.001</f>
        <v>5.2000000000000005E-2</v>
      </c>
      <c r="G6" s="1">
        <f t="shared" si="0"/>
        <v>5.3000000000000005E-2</v>
      </c>
      <c r="H6" s="1">
        <f t="shared" si="0"/>
        <v>5.4000000000000006E-2</v>
      </c>
      <c r="I6" s="1">
        <f t="shared" si="0"/>
        <v>5.5000000000000007E-2</v>
      </c>
      <c r="J6" s="1">
        <f t="shared" si="0"/>
        <v>5.6000000000000008E-2</v>
      </c>
      <c r="K6" s="1">
        <f t="shared" si="0"/>
        <v>5.7000000000000009E-2</v>
      </c>
      <c r="L6" s="1">
        <f t="shared" si="0"/>
        <v>5.800000000000001E-2</v>
      </c>
      <c r="M6" s="1">
        <f t="shared" si="0"/>
        <v>5.9000000000000011E-2</v>
      </c>
      <c r="N6" s="1">
        <f t="shared" si="0"/>
        <v>6.0000000000000012E-2</v>
      </c>
      <c r="O6" s="1">
        <f t="shared" si="0"/>
        <v>6.1000000000000013E-2</v>
      </c>
      <c r="P6" s="1">
        <f t="shared" si="0"/>
        <v>6.2000000000000013E-2</v>
      </c>
      <c r="Q6" s="1">
        <f t="shared" si="0"/>
        <v>6.3000000000000014E-2</v>
      </c>
      <c r="R6" s="1">
        <f t="shared" si="0"/>
        <v>6.4000000000000015E-2</v>
      </c>
      <c r="S6" s="1">
        <f t="shared" si="0"/>
        <v>6.5000000000000016E-2</v>
      </c>
      <c r="T6" s="1">
        <f t="shared" si="0"/>
        <v>6.6000000000000017E-2</v>
      </c>
      <c r="U6" s="1">
        <f t="shared" si="0"/>
        <v>6.7000000000000018E-2</v>
      </c>
      <c r="V6" s="1">
        <f>U6+0.001</f>
        <v>6.8000000000000019E-2</v>
      </c>
      <c r="W6" s="1">
        <f t="shared" si="0"/>
        <v>6.900000000000002E-2</v>
      </c>
      <c r="X6" s="1">
        <f t="shared" si="0"/>
        <v>7.0000000000000021E-2</v>
      </c>
      <c r="Y6" s="1">
        <f t="shared" ref="Y6:Z7" si="1">X6+0.001</f>
        <v>7.1000000000000021E-2</v>
      </c>
      <c r="Z6" s="1">
        <f t="shared" si="1"/>
        <v>7.2000000000000022E-2</v>
      </c>
      <c r="AA6" s="1">
        <f t="shared" ref="AA6:AA7" si="2">Z6+0.001</f>
        <v>7.3000000000000023E-2</v>
      </c>
      <c r="AB6" s="1">
        <f t="shared" ref="AB6:AB7" si="3">AA6+0.001</f>
        <v>7.4000000000000024E-2</v>
      </c>
      <c r="AC6" s="1">
        <f t="shared" ref="AC6:AD7" si="4">AB6+0.001</f>
        <v>7.5000000000000025E-2</v>
      </c>
      <c r="AD6" s="1">
        <f t="shared" si="4"/>
        <v>7.6000000000000026E-2</v>
      </c>
      <c r="AE6" s="1">
        <f t="shared" ref="AE6:AE7" si="5">AD6+0.001</f>
        <v>7.7000000000000027E-2</v>
      </c>
      <c r="AF6" s="1">
        <f t="shared" ref="AF6:AF7" si="6">AE6+0.001</f>
        <v>7.8000000000000028E-2</v>
      </c>
      <c r="AG6" s="1">
        <f>AF6+0.001</f>
        <v>7.9000000000000029E-2</v>
      </c>
      <c r="AH6" s="1">
        <f t="shared" ref="AG6:AH7" si="7">AG6+0.001</f>
        <v>8.0000000000000029E-2</v>
      </c>
    </row>
    <row r="7" spans="3:34" x14ac:dyDescent="0.35">
      <c r="C7" s="4" t="s">
        <v>107</v>
      </c>
      <c r="D7" s="1">
        <f>0.08</f>
        <v>0.08</v>
      </c>
      <c r="E7" s="1">
        <f>D7+0.001</f>
        <v>8.1000000000000003E-2</v>
      </c>
      <c r="F7" s="1">
        <f t="shared" ref="F7:X7" si="8">E7+0.001</f>
        <v>8.2000000000000003E-2</v>
      </c>
      <c r="G7" s="1">
        <f t="shared" si="8"/>
        <v>8.3000000000000004E-2</v>
      </c>
      <c r="H7" s="1">
        <f t="shared" si="8"/>
        <v>8.4000000000000005E-2</v>
      </c>
      <c r="I7" s="1">
        <f t="shared" si="8"/>
        <v>8.5000000000000006E-2</v>
      </c>
      <c r="J7" s="1">
        <f t="shared" si="8"/>
        <v>8.6000000000000007E-2</v>
      </c>
      <c r="K7" s="1">
        <f t="shared" si="8"/>
        <v>8.7000000000000008E-2</v>
      </c>
      <c r="L7" s="1">
        <f t="shared" si="8"/>
        <v>8.8000000000000009E-2</v>
      </c>
      <c r="M7" s="1">
        <f t="shared" si="8"/>
        <v>8.900000000000001E-2</v>
      </c>
      <c r="N7" s="1">
        <f t="shared" si="8"/>
        <v>9.0000000000000011E-2</v>
      </c>
      <c r="O7" s="1">
        <f t="shared" si="8"/>
        <v>9.1000000000000011E-2</v>
      </c>
      <c r="P7" s="1">
        <f t="shared" si="8"/>
        <v>9.2000000000000012E-2</v>
      </c>
      <c r="Q7" s="1">
        <f t="shared" si="8"/>
        <v>9.3000000000000013E-2</v>
      </c>
      <c r="R7" s="1">
        <f t="shared" si="8"/>
        <v>9.4000000000000014E-2</v>
      </c>
      <c r="S7" s="1">
        <f t="shared" si="8"/>
        <v>9.5000000000000015E-2</v>
      </c>
      <c r="T7" s="1">
        <f t="shared" si="8"/>
        <v>9.6000000000000016E-2</v>
      </c>
      <c r="U7" s="1">
        <f t="shared" si="8"/>
        <v>9.7000000000000017E-2</v>
      </c>
      <c r="V7" s="1">
        <f t="shared" si="8"/>
        <v>9.8000000000000018E-2</v>
      </c>
      <c r="W7" s="1">
        <f t="shared" si="8"/>
        <v>9.9000000000000019E-2</v>
      </c>
      <c r="X7" s="1">
        <f t="shared" si="8"/>
        <v>0.10000000000000002</v>
      </c>
      <c r="Y7" s="1">
        <f t="shared" si="1"/>
        <v>0.10100000000000002</v>
      </c>
      <c r="Z7" s="1">
        <f t="shared" si="1"/>
        <v>0.10200000000000002</v>
      </c>
      <c r="AA7" s="1">
        <f t="shared" si="2"/>
        <v>0.10300000000000002</v>
      </c>
      <c r="AB7" s="1">
        <f t="shared" si="3"/>
        <v>0.10400000000000002</v>
      </c>
      <c r="AC7" s="1">
        <f t="shared" si="4"/>
        <v>0.10500000000000002</v>
      </c>
      <c r="AD7" s="1">
        <f t="shared" si="4"/>
        <v>0.10600000000000002</v>
      </c>
      <c r="AE7" s="1">
        <f t="shared" si="5"/>
        <v>0.10700000000000003</v>
      </c>
      <c r="AF7" s="1">
        <f t="shared" si="6"/>
        <v>0.10800000000000003</v>
      </c>
      <c r="AG7" s="1">
        <f t="shared" si="7"/>
        <v>0.10900000000000003</v>
      </c>
      <c r="AH7" s="1">
        <f t="shared" si="7"/>
        <v>0.11000000000000003</v>
      </c>
    </row>
    <row r="10" spans="3:34" x14ac:dyDescent="0.35">
      <c r="C10" s="6" t="s">
        <v>4</v>
      </c>
      <c r="D10" s="6" t="s">
        <v>117</v>
      </c>
    </row>
    <row r="11" spans="3:34" x14ac:dyDescent="0.35">
      <c r="C11" s="1" t="s">
        <v>108</v>
      </c>
      <c r="D11" s="5">
        <v>0.05</v>
      </c>
    </row>
    <row r="12" spans="3:34" x14ac:dyDescent="0.35">
      <c r="C12" s="1" t="s">
        <v>115</v>
      </c>
      <c r="D12" s="5">
        <v>0.2</v>
      </c>
    </row>
    <row r="13" spans="3:34" x14ac:dyDescent="0.35">
      <c r="C13" s="1" t="s">
        <v>112</v>
      </c>
      <c r="D13" s="5">
        <v>0.6</v>
      </c>
    </row>
    <row r="14" spans="3:34" x14ac:dyDescent="0.35">
      <c r="C14" s="1" t="s">
        <v>113</v>
      </c>
      <c r="D14" s="5">
        <v>0.7</v>
      </c>
    </row>
    <row r="15" spans="3:34" x14ac:dyDescent="0.35">
      <c r="C15" s="1" t="s">
        <v>111</v>
      </c>
      <c r="D15" s="5">
        <v>0.75</v>
      </c>
    </row>
    <row r="17" spans="3:4" x14ac:dyDescent="0.35">
      <c r="C17" s="8" t="s">
        <v>5</v>
      </c>
      <c r="D17" s="8" t="s">
        <v>117</v>
      </c>
    </row>
    <row r="18" spans="3:4" x14ac:dyDescent="0.35">
      <c r="C18" s="1" t="s">
        <v>108</v>
      </c>
      <c r="D18" s="7">
        <f>D11-0.05</f>
        <v>0</v>
      </c>
    </row>
    <row r="19" spans="3:4" x14ac:dyDescent="0.35">
      <c r="C19" s="1" t="s">
        <v>115</v>
      </c>
      <c r="D19" s="7">
        <f t="shared" ref="D19:D22" si="9">D12-0.05</f>
        <v>0.15000000000000002</v>
      </c>
    </row>
    <row r="20" spans="3:4" x14ac:dyDescent="0.35">
      <c r="C20" s="1" t="s">
        <v>112</v>
      </c>
      <c r="D20" s="7">
        <f t="shared" si="9"/>
        <v>0.54999999999999993</v>
      </c>
    </row>
    <row r="21" spans="3:4" x14ac:dyDescent="0.35">
      <c r="C21" s="1" t="s">
        <v>113</v>
      </c>
      <c r="D21" s="7">
        <f t="shared" si="9"/>
        <v>0.64999999999999991</v>
      </c>
    </row>
    <row r="22" spans="3:4" x14ac:dyDescent="0.35">
      <c r="C22" s="1" t="s">
        <v>111</v>
      </c>
      <c r="D22" s="7">
        <f t="shared" si="9"/>
        <v>0.7</v>
      </c>
    </row>
    <row r="24" spans="3:4" x14ac:dyDescent="0.35">
      <c r="C24" s="9" t="s">
        <v>116</v>
      </c>
      <c r="D24" s="9" t="s">
        <v>118</v>
      </c>
    </row>
    <row r="25" spans="3:4" x14ac:dyDescent="0.35">
      <c r="C25" s="1" t="s">
        <v>114</v>
      </c>
      <c r="D25" s="1">
        <v>1.5</v>
      </c>
    </row>
    <row r="26" spans="3:4" x14ac:dyDescent="0.35">
      <c r="C26" s="1" t="s">
        <v>109</v>
      </c>
      <c r="D26" s="1">
        <v>1</v>
      </c>
    </row>
  </sheetData>
  <pageMargins left="0.7" right="0.7" top="0.75" bottom="0.75" header="0.3" footer="0.3"/>
  <pageSetup orientation="portrait" r:id="rId1"/>
  <headerFooter>
    <oddFooter>&amp;L_x000D_&amp;1#&amp;"Calibri"&amp;10&amp;K000000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8B25-85C6-40B2-A348-464DE3467500}">
  <sheetPr codeName="Sheet2"/>
  <dimension ref="B1:N101"/>
  <sheetViews>
    <sheetView tabSelected="1" workbookViewId="0">
      <pane ySplit="1" topLeftCell="A2" activePane="bottomLeft" state="frozen"/>
      <selection pane="bottomLeft" activeCell="H2" sqref="H2"/>
    </sheetView>
  </sheetViews>
  <sheetFormatPr defaultRowHeight="14.5" x14ac:dyDescent="0.35"/>
  <cols>
    <col min="1" max="1" width="11.36328125" customWidth="1"/>
    <col min="2" max="2" width="16.36328125" bestFit="1" customWidth="1"/>
    <col min="3" max="3" width="7" bestFit="1" customWidth="1"/>
    <col min="4" max="4" width="3.90625" bestFit="1" customWidth="1"/>
    <col min="5" max="5" width="13.36328125" bestFit="1" customWidth="1"/>
    <col min="6" max="6" width="18.81640625" bestFit="1" customWidth="1"/>
    <col min="7" max="7" width="13" bestFit="1" customWidth="1"/>
    <col min="8" max="11" width="17.90625" bestFit="1" customWidth="1"/>
    <col min="13" max="14" width="8.7265625" customWidth="1"/>
  </cols>
  <sheetData>
    <row r="1" spans="2:14" x14ac:dyDescent="0.35"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3" t="s">
        <v>126</v>
      </c>
      <c r="I1" s="13" t="s">
        <v>127</v>
      </c>
      <c r="J1" s="13" t="s">
        <v>128</v>
      </c>
      <c r="K1" s="13" t="s">
        <v>129</v>
      </c>
    </row>
    <row r="2" spans="2:14" x14ac:dyDescent="0.35">
      <c r="B2" t="s">
        <v>7</v>
      </c>
      <c r="C2" t="s">
        <v>107</v>
      </c>
      <c r="D2">
        <v>38</v>
      </c>
      <c r="E2" t="s">
        <v>111</v>
      </c>
      <c r="F2" t="s">
        <v>113</v>
      </c>
      <c r="G2" t="s">
        <v>114</v>
      </c>
      <c r="H2">
        <v>1238.210567998801</v>
      </c>
      <c r="I2">
        <v>1107.1191878373177</v>
      </c>
      <c r="J2">
        <v>995.63369719529476</v>
      </c>
      <c r="K2">
        <v>900.26898622081035</v>
      </c>
    </row>
    <row r="3" spans="2:14" x14ac:dyDescent="0.35">
      <c r="B3" t="s">
        <v>8</v>
      </c>
      <c r="C3" t="s">
        <v>110</v>
      </c>
      <c r="D3">
        <v>41</v>
      </c>
      <c r="E3" t="s">
        <v>108</v>
      </c>
      <c r="F3" t="s">
        <v>111</v>
      </c>
      <c r="G3" t="s">
        <v>109</v>
      </c>
      <c r="H3">
        <v>562.52918205497042</v>
      </c>
      <c r="I3">
        <v>503.47612095848444</v>
      </c>
      <c r="J3">
        <v>453.21723887864403</v>
      </c>
      <c r="K3">
        <v>410.19333974441059</v>
      </c>
    </row>
    <row r="4" spans="2:14" x14ac:dyDescent="0.35">
      <c r="B4" t="s">
        <v>9</v>
      </c>
      <c r="C4" t="s">
        <v>107</v>
      </c>
      <c r="D4">
        <v>30</v>
      </c>
      <c r="E4" t="s">
        <v>112</v>
      </c>
      <c r="F4" t="s">
        <v>112</v>
      </c>
      <c r="G4" t="s">
        <v>114</v>
      </c>
      <c r="H4">
        <v>973.3221507298523</v>
      </c>
      <c r="I4">
        <v>870.40997170095761</v>
      </c>
      <c r="J4">
        <v>782.87909687283548</v>
      </c>
      <c r="K4">
        <v>707.99645710687673</v>
      </c>
    </row>
    <row r="5" spans="2:14" x14ac:dyDescent="0.35">
      <c r="B5" t="s">
        <v>10</v>
      </c>
      <c r="C5" t="s">
        <v>110</v>
      </c>
      <c r="D5">
        <v>31</v>
      </c>
      <c r="E5" t="s">
        <v>112</v>
      </c>
      <c r="F5" t="s">
        <v>108</v>
      </c>
      <c r="G5" t="s">
        <v>114</v>
      </c>
      <c r="H5">
        <v>538.27664249345389</v>
      </c>
      <c r="I5">
        <v>481.82621910050619</v>
      </c>
      <c r="J5">
        <v>433.77810172434744</v>
      </c>
      <c r="K5">
        <v>392.64303420535117</v>
      </c>
      <c r="M5" t="s">
        <v>0</v>
      </c>
      <c r="N5" t="s">
        <v>0</v>
      </c>
    </row>
    <row r="6" spans="2:14" x14ac:dyDescent="0.35">
      <c r="B6" t="s">
        <v>11</v>
      </c>
      <c r="C6" t="s">
        <v>110</v>
      </c>
      <c r="D6">
        <v>39</v>
      </c>
      <c r="E6" t="s">
        <v>108</v>
      </c>
      <c r="F6" t="s">
        <v>111</v>
      </c>
      <c r="G6" t="s">
        <v>114</v>
      </c>
      <c r="H6">
        <v>573.62783279096834</v>
      </c>
      <c r="I6">
        <v>513.38122183282724</v>
      </c>
      <c r="J6">
        <v>462.10868562522768</v>
      </c>
      <c r="K6">
        <v>418.21890126682092</v>
      </c>
    </row>
    <row r="7" spans="2:14" x14ac:dyDescent="0.35">
      <c r="B7" t="s">
        <v>12</v>
      </c>
      <c r="C7" t="s">
        <v>107</v>
      </c>
      <c r="D7">
        <v>37</v>
      </c>
      <c r="E7" t="s">
        <v>115</v>
      </c>
      <c r="F7" t="s">
        <v>113</v>
      </c>
      <c r="G7" t="s">
        <v>114</v>
      </c>
      <c r="H7">
        <v>723.01725392603953</v>
      </c>
      <c r="I7">
        <v>646.86271780502693</v>
      </c>
      <c r="J7">
        <v>582.0683199741228</v>
      </c>
      <c r="K7">
        <v>526.61785671244252</v>
      </c>
    </row>
    <row r="8" spans="2:14" x14ac:dyDescent="0.35">
      <c r="B8" t="s">
        <v>13</v>
      </c>
      <c r="C8" t="s">
        <v>110</v>
      </c>
      <c r="D8">
        <v>41</v>
      </c>
      <c r="E8" t="s">
        <v>112</v>
      </c>
      <c r="F8" t="s">
        <v>108</v>
      </c>
      <c r="G8" t="s">
        <v>109</v>
      </c>
      <c r="H8">
        <v>538.27664249345389</v>
      </c>
      <c r="I8">
        <v>481.82621910050619</v>
      </c>
      <c r="J8">
        <v>433.77810172434744</v>
      </c>
      <c r="K8">
        <v>392.64303420535117</v>
      </c>
    </row>
    <row r="9" spans="2:14" x14ac:dyDescent="0.35">
      <c r="B9" t="s">
        <v>14</v>
      </c>
      <c r="C9" t="s">
        <v>107</v>
      </c>
      <c r="D9">
        <v>25</v>
      </c>
      <c r="E9" t="s">
        <v>108</v>
      </c>
      <c r="F9" t="s">
        <v>115</v>
      </c>
      <c r="G9" t="s">
        <v>109</v>
      </c>
      <c r="H9">
        <v>544.50123430139627</v>
      </c>
      <c r="I9">
        <v>487.38533383900517</v>
      </c>
      <c r="J9">
        <v>438.77175294511846</v>
      </c>
      <c r="K9">
        <v>397.15340521084045</v>
      </c>
    </row>
    <row r="10" spans="2:14" x14ac:dyDescent="0.35">
      <c r="B10" t="s">
        <v>15</v>
      </c>
      <c r="C10" t="s">
        <v>107</v>
      </c>
      <c r="D10">
        <v>26</v>
      </c>
      <c r="E10" t="s">
        <v>108</v>
      </c>
      <c r="F10" t="s">
        <v>112</v>
      </c>
      <c r="G10" t="s">
        <v>109</v>
      </c>
      <c r="H10">
        <v>561.36928411048916</v>
      </c>
      <c r="I10">
        <v>502.45055291788589</v>
      </c>
      <c r="J10">
        <v>452.30504525137019</v>
      </c>
      <c r="K10">
        <v>409.37738274258072</v>
      </c>
    </row>
    <row r="11" spans="2:14" x14ac:dyDescent="0.35">
      <c r="B11" t="s">
        <v>16</v>
      </c>
      <c r="C11" t="s">
        <v>110</v>
      </c>
      <c r="D11">
        <v>35</v>
      </c>
      <c r="E11" t="s">
        <v>108</v>
      </c>
      <c r="F11" t="s">
        <v>111</v>
      </c>
      <c r="G11" t="s">
        <v>109</v>
      </c>
      <c r="H11">
        <v>560.47394396544985</v>
      </c>
      <c r="I11">
        <v>501.63642084919172</v>
      </c>
      <c r="J11">
        <v>451.56099521751474</v>
      </c>
      <c r="K11">
        <v>408.694157250172</v>
      </c>
    </row>
    <row r="12" spans="2:14" x14ac:dyDescent="0.35">
      <c r="B12" t="s">
        <v>17</v>
      </c>
      <c r="C12" t="s">
        <v>107</v>
      </c>
      <c r="D12">
        <v>34</v>
      </c>
      <c r="E12" t="s">
        <v>111</v>
      </c>
      <c r="F12" t="s">
        <v>111</v>
      </c>
      <c r="G12" t="s">
        <v>109</v>
      </c>
      <c r="H12">
        <v>1020.2409260636267</v>
      </c>
      <c r="I12">
        <v>912.35750325451954</v>
      </c>
      <c r="J12">
        <v>820.59916955373421</v>
      </c>
      <c r="K12">
        <v>742.10061070996142</v>
      </c>
    </row>
    <row r="13" spans="2:14" x14ac:dyDescent="0.35">
      <c r="B13" t="s">
        <v>18</v>
      </c>
      <c r="C13" t="s">
        <v>110</v>
      </c>
      <c r="D13">
        <v>36</v>
      </c>
      <c r="E13" t="s">
        <v>108</v>
      </c>
      <c r="F13" t="s">
        <v>115</v>
      </c>
      <c r="G13" t="s">
        <v>114</v>
      </c>
      <c r="H13">
        <v>545.52159143567701</v>
      </c>
      <c r="I13">
        <v>488.29233931129579</v>
      </c>
      <c r="J13">
        <v>439.58275911471168</v>
      </c>
      <c r="K13">
        <v>397.88263710337787</v>
      </c>
    </row>
    <row r="14" spans="2:14" x14ac:dyDescent="0.35">
      <c r="B14" t="s">
        <v>19</v>
      </c>
      <c r="C14" t="s">
        <v>110</v>
      </c>
      <c r="D14">
        <v>34</v>
      </c>
      <c r="E14" t="s">
        <v>108</v>
      </c>
      <c r="F14" t="s">
        <v>108</v>
      </c>
      <c r="G14" t="s">
        <v>114</v>
      </c>
      <c r="H14">
        <v>538.27664249345389</v>
      </c>
      <c r="I14">
        <v>481.82621910050619</v>
      </c>
      <c r="J14">
        <v>433.77810172434744</v>
      </c>
      <c r="K14">
        <v>392.64303420535117</v>
      </c>
    </row>
    <row r="15" spans="2:14" x14ac:dyDescent="0.35">
      <c r="B15" t="s">
        <v>20</v>
      </c>
      <c r="C15" t="s">
        <v>107</v>
      </c>
      <c r="D15">
        <v>28</v>
      </c>
      <c r="E15" t="s">
        <v>112</v>
      </c>
      <c r="F15" t="s">
        <v>111</v>
      </c>
      <c r="G15" t="s">
        <v>114</v>
      </c>
      <c r="H15">
        <v>1079.6394971662928</v>
      </c>
      <c r="I15">
        <v>965.34915811805081</v>
      </c>
      <c r="J15">
        <v>868.15099721928368</v>
      </c>
      <c r="K15">
        <v>785.00684111458827</v>
      </c>
    </row>
    <row r="16" spans="2:14" x14ac:dyDescent="0.35">
      <c r="B16" t="s">
        <v>21</v>
      </c>
      <c r="C16" t="s">
        <v>110</v>
      </c>
      <c r="D16">
        <v>30</v>
      </c>
      <c r="E16" t="s">
        <v>111</v>
      </c>
      <c r="F16" t="s">
        <v>111</v>
      </c>
      <c r="G16" t="s">
        <v>114</v>
      </c>
      <c r="H16">
        <v>999.1802114348543</v>
      </c>
      <c r="I16">
        <v>893.06138139668872</v>
      </c>
      <c r="J16">
        <v>802.83863667443859</v>
      </c>
      <c r="K16">
        <v>725.68363094684332</v>
      </c>
    </row>
    <row r="17" spans="2:11" x14ac:dyDescent="0.35">
      <c r="B17" t="s">
        <v>22</v>
      </c>
      <c r="C17" t="s">
        <v>110</v>
      </c>
      <c r="D17">
        <v>25</v>
      </c>
      <c r="E17" t="s">
        <v>108</v>
      </c>
      <c r="F17" t="s">
        <v>112</v>
      </c>
      <c r="G17" t="s">
        <v>114</v>
      </c>
      <c r="H17">
        <v>560.40067298103406</v>
      </c>
      <c r="I17">
        <v>501.56026023248893</v>
      </c>
      <c r="J17">
        <v>451.48317614979055</v>
      </c>
      <c r="K17">
        <v>408.61560646592125</v>
      </c>
    </row>
    <row r="18" spans="2:11" x14ac:dyDescent="0.35">
      <c r="B18" t="s">
        <v>23</v>
      </c>
      <c r="C18" t="s">
        <v>107</v>
      </c>
      <c r="D18">
        <v>45</v>
      </c>
      <c r="E18" t="s">
        <v>113</v>
      </c>
      <c r="F18" t="s">
        <v>111</v>
      </c>
      <c r="G18" t="s">
        <v>109</v>
      </c>
      <c r="H18">
        <v>1040.8610847899736</v>
      </c>
      <c r="I18">
        <v>930.87438711610139</v>
      </c>
      <c r="J18">
        <v>837.32135233409463</v>
      </c>
      <c r="K18">
        <v>757.28245629511184</v>
      </c>
    </row>
    <row r="19" spans="2:11" x14ac:dyDescent="0.35">
      <c r="B19" t="s">
        <v>24</v>
      </c>
      <c r="C19" t="s">
        <v>107</v>
      </c>
      <c r="D19">
        <v>42</v>
      </c>
      <c r="E19" t="s">
        <v>111</v>
      </c>
      <c r="F19" t="s">
        <v>115</v>
      </c>
      <c r="G19" t="s">
        <v>114</v>
      </c>
      <c r="H19">
        <v>706.40597850221252</v>
      </c>
      <c r="I19">
        <v>632.03791828117869</v>
      </c>
      <c r="J19">
        <v>568.76072563391028</v>
      </c>
      <c r="K19">
        <v>514.60628554479558</v>
      </c>
    </row>
    <row r="20" spans="2:11" x14ac:dyDescent="0.35">
      <c r="B20" t="s">
        <v>25</v>
      </c>
      <c r="C20" t="s">
        <v>110</v>
      </c>
      <c r="D20">
        <v>39</v>
      </c>
      <c r="E20" t="s">
        <v>108</v>
      </c>
      <c r="F20" t="s">
        <v>113</v>
      </c>
      <c r="G20" t="s">
        <v>109</v>
      </c>
      <c r="H20">
        <v>560.16071267762959</v>
      </c>
      <c r="I20">
        <v>501.36026841099061</v>
      </c>
      <c r="J20">
        <v>451.31608223441611</v>
      </c>
      <c r="K20">
        <v>408.47571381483243</v>
      </c>
    </row>
    <row r="21" spans="2:11" x14ac:dyDescent="0.35">
      <c r="B21" t="s">
        <v>26</v>
      </c>
      <c r="C21" t="s">
        <v>107</v>
      </c>
      <c r="D21">
        <v>37</v>
      </c>
      <c r="E21" t="s">
        <v>108</v>
      </c>
      <c r="F21" t="s">
        <v>111</v>
      </c>
      <c r="G21" t="s">
        <v>109</v>
      </c>
      <c r="H21">
        <v>571.43521377622562</v>
      </c>
      <c r="I21">
        <v>511.44815476542021</v>
      </c>
      <c r="J21">
        <v>460.3942947435379</v>
      </c>
      <c r="K21">
        <v>416.68979721944459</v>
      </c>
    </row>
    <row r="22" spans="2:11" x14ac:dyDescent="0.35">
      <c r="B22" t="s">
        <v>27</v>
      </c>
      <c r="C22" t="s">
        <v>107</v>
      </c>
      <c r="D22">
        <v>27</v>
      </c>
      <c r="E22" t="s">
        <v>108</v>
      </c>
      <c r="F22" t="s">
        <v>111</v>
      </c>
      <c r="G22" t="s">
        <v>114</v>
      </c>
      <c r="H22">
        <v>582.87640419381046</v>
      </c>
      <c r="I22">
        <v>521.65987232464499</v>
      </c>
      <c r="J22">
        <v>469.56178210030964</v>
      </c>
      <c r="K22">
        <v>424.96522249089463</v>
      </c>
    </row>
    <row r="23" spans="2:11" x14ac:dyDescent="0.35">
      <c r="B23" t="s">
        <v>28</v>
      </c>
      <c r="C23" t="s">
        <v>110</v>
      </c>
      <c r="D23">
        <v>26</v>
      </c>
      <c r="E23" t="s">
        <v>113</v>
      </c>
      <c r="F23" t="s">
        <v>113</v>
      </c>
      <c r="G23" t="s">
        <v>114</v>
      </c>
      <c r="H23">
        <v>911.00830707890134</v>
      </c>
      <c r="I23">
        <v>814.31392500305719</v>
      </c>
      <c r="J23">
        <v>732.09939775307839</v>
      </c>
      <c r="K23">
        <v>661.78884562287544</v>
      </c>
    </row>
    <row r="24" spans="2:11" x14ac:dyDescent="0.35">
      <c r="B24" t="s">
        <v>29</v>
      </c>
      <c r="C24" t="s">
        <v>110</v>
      </c>
      <c r="D24">
        <v>45</v>
      </c>
      <c r="E24" t="s">
        <v>112</v>
      </c>
      <c r="F24" t="s">
        <v>111</v>
      </c>
      <c r="G24" t="s">
        <v>109</v>
      </c>
      <c r="H24">
        <v>845.74902194781464</v>
      </c>
      <c r="I24">
        <v>756.34264227058884</v>
      </c>
      <c r="J24">
        <v>680.29769686494251</v>
      </c>
      <c r="K24">
        <v>615.24016062797193</v>
      </c>
    </row>
    <row r="25" spans="2:11" x14ac:dyDescent="0.35">
      <c r="B25" t="s">
        <v>30</v>
      </c>
      <c r="C25" t="s">
        <v>107</v>
      </c>
      <c r="D25">
        <v>37</v>
      </c>
      <c r="E25" t="s">
        <v>111</v>
      </c>
      <c r="F25" t="s">
        <v>112</v>
      </c>
      <c r="G25" t="s">
        <v>109</v>
      </c>
      <c r="H25">
        <v>929.07408975469241</v>
      </c>
      <c r="I25">
        <v>830.94188943699214</v>
      </c>
      <c r="J25">
        <v>747.46894802194913</v>
      </c>
      <c r="K25">
        <v>676.0513125857367</v>
      </c>
    </row>
    <row r="26" spans="2:11" x14ac:dyDescent="0.35">
      <c r="B26" t="s">
        <v>31</v>
      </c>
      <c r="C26" t="s">
        <v>107</v>
      </c>
      <c r="D26">
        <v>35</v>
      </c>
      <c r="E26" t="s">
        <v>111</v>
      </c>
      <c r="F26" t="s">
        <v>115</v>
      </c>
      <c r="G26" t="s">
        <v>114</v>
      </c>
      <c r="H26">
        <v>694.84526424865987</v>
      </c>
      <c r="I26">
        <v>621.68960516640652</v>
      </c>
      <c r="J26">
        <v>559.44435504005776</v>
      </c>
      <c r="K26">
        <v>506.17338401470346</v>
      </c>
    </row>
    <row r="27" spans="2:11" x14ac:dyDescent="0.35">
      <c r="B27" t="s">
        <v>32</v>
      </c>
      <c r="C27" t="s">
        <v>110</v>
      </c>
      <c r="D27">
        <v>43</v>
      </c>
      <c r="E27" t="s">
        <v>111</v>
      </c>
      <c r="F27" t="s">
        <v>111</v>
      </c>
      <c r="G27" t="s">
        <v>114</v>
      </c>
      <c r="H27">
        <v>1099.3730682989769</v>
      </c>
      <c r="I27">
        <v>982.74676172471482</v>
      </c>
      <c r="J27">
        <v>883.58051515449336</v>
      </c>
      <c r="K27">
        <v>798.76877754097575</v>
      </c>
    </row>
    <row r="28" spans="2:11" x14ac:dyDescent="0.35">
      <c r="B28" t="s">
        <v>33</v>
      </c>
      <c r="C28" t="s">
        <v>107</v>
      </c>
      <c r="D28">
        <v>33</v>
      </c>
      <c r="E28" t="s">
        <v>108</v>
      </c>
      <c r="F28" t="s">
        <v>108</v>
      </c>
      <c r="G28" t="s">
        <v>114</v>
      </c>
      <c r="H28">
        <v>538.27664249345389</v>
      </c>
      <c r="I28">
        <v>481.82621910050619</v>
      </c>
      <c r="J28">
        <v>433.77810172434744</v>
      </c>
      <c r="K28">
        <v>392.64303420535117</v>
      </c>
    </row>
    <row r="29" spans="2:11" x14ac:dyDescent="0.35">
      <c r="B29" t="s">
        <v>34</v>
      </c>
      <c r="C29" t="s">
        <v>110</v>
      </c>
      <c r="D29">
        <v>31</v>
      </c>
      <c r="E29" t="s">
        <v>113</v>
      </c>
      <c r="F29" t="s">
        <v>115</v>
      </c>
      <c r="G29" t="s">
        <v>109</v>
      </c>
      <c r="H29">
        <v>600.75807073040096</v>
      </c>
      <c r="I29">
        <v>537.57742412797688</v>
      </c>
      <c r="J29">
        <v>483.81429488159091</v>
      </c>
      <c r="K29">
        <v>437.79803835133617</v>
      </c>
    </row>
    <row r="30" spans="2:11" x14ac:dyDescent="0.35">
      <c r="B30" t="s">
        <v>35</v>
      </c>
      <c r="C30" t="s">
        <v>107</v>
      </c>
      <c r="D30">
        <v>43</v>
      </c>
      <c r="E30" t="s">
        <v>108</v>
      </c>
      <c r="F30" t="s">
        <v>112</v>
      </c>
      <c r="G30" t="s">
        <v>109</v>
      </c>
      <c r="H30">
        <v>565.94463557168353</v>
      </c>
      <c r="I30">
        <v>506.54607578024013</v>
      </c>
      <c r="J30">
        <v>455.99215911602721</v>
      </c>
      <c r="K30">
        <v>412.71484853332629</v>
      </c>
    </row>
    <row r="31" spans="2:11" x14ac:dyDescent="0.35">
      <c r="B31" t="s">
        <v>36</v>
      </c>
      <c r="C31" t="s">
        <v>107</v>
      </c>
      <c r="D31">
        <v>42</v>
      </c>
      <c r="E31" t="s">
        <v>112</v>
      </c>
      <c r="F31" t="s">
        <v>112</v>
      </c>
      <c r="G31" t="s">
        <v>109</v>
      </c>
      <c r="H31">
        <v>867.06289957724823</v>
      </c>
      <c r="I31">
        <v>775.57354194271022</v>
      </c>
      <c r="J31">
        <v>697.74412181415926</v>
      </c>
      <c r="K31">
        <v>631.14894793582016</v>
      </c>
    </row>
    <row r="32" spans="2:11" x14ac:dyDescent="0.35">
      <c r="B32" t="s">
        <v>37</v>
      </c>
      <c r="C32" t="s">
        <v>107</v>
      </c>
      <c r="D32">
        <v>31</v>
      </c>
      <c r="E32" t="s">
        <v>108</v>
      </c>
      <c r="F32" t="s">
        <v>108</v>
      </c>
      <c r="G32" t="s">
        <v>109</v>
      </c>
      <c r="H32">
        <v>538.27664249345389</v>
      </c>
      <c r="I32">
        <v>481.82621910050619</v>
      </c>
      <c r="J32">
        <v>433.77810172434744</v>
      </c>
      <c r="K32">
        <v>392.64303420535117</v>
      </c>
    </row>
    <row r="33" spans="2:11" x14ac:dyDescent="0.35">
      <c r="B33" t="s">
        <v>38</v>
      </c>
      <c r="C33" t="s">
        <v>107</v>
      </c>
      <c r="D33">
        <v>32</v>
      </c>
      <c r="E33" t="s">
        <v>108</v>
      </c>
      <c r="F33" t="s">
        <v>115</v>
      </c>
      <c r="G33" t="s">
        <v>114</v>
      </c>
      <c r="H33">
        <v>548.38424448893761</v>
      </c>
      <c r="I33">
        <v>490.85477874923941</v>
      </c>
      <c r="J33">
        <v>441.88966992842745</v>
      </c>
      <c r="K33">
        <v>399.97078414892445</v>
      </c>
    </row>
    <row r="34" spans="2:11" x14ac:dyDescent="0.35">
      <c r="B34" t="s">
        <v>39</v>
      </c>
      <c r="C34" t="s">
        <v>110</v>
      </c>
      <c r="D34">
        <v>41</v>
      </c>
      <c r="E34" t="s">
        <v>113</v>
      </c>
      <c r="F34" t="s">
        <v>113</v>
      </c>
      <c r="G34" t="s">
        <v>109</v>
      </c>
      <c r="H34">
        <v>853.55965679316739</v>
      </c>
      <c r="I34">
        <v>763.27494325422435</v>
      </c>
      <c r="J34">
        <v>686.48688473020468</v>
      </c>
      <c r="K34">
        <v>620.79700621312247</v>
      </c>
    </row>
    <row r="35" spans="2:11" x14ac:dyDescent="0.35">
      <c r="B35" t="s">
        <v>40</v>
      </c>
      <c r="C35" t="s">
        <v>110</v>
      </c>
      <c r="D35">
        <v>45</v>
      </c>
      <c r="E35" t="s">
        <v>111</v>
      </c>
      <c r="F35" t="s">
        <v>108</v>
      </c>
      <c r="G35" t="s">
        <v>114</v>
      </c>
      <c r="H35">
        <v>538.27664249345389</v>
      </c>
      <c r="I35">
        <v>481.82621910050619</v>
      </c>
      <c r="J35">
        <v>433.77810172434744</v>
      </c>
      <c r="K35">
        <v>392.64303420535117</v>
      </c>
    </row>
    <row r="36" spans="2:11" x14ac:dyDescent="0.35">
      <c r="B36" t="s">
        <v>41</v>
      </c>
      <c r="C36" t="s">
        <v>107</v>
      </c>
      <c r="D36">
        <v>38</v>
      </c>
      <c r="E36" t="s">
        <v>108</v>
      </c>
      <c r="F36" t="s">
        <v>108</v>
      </c>
      <c r="G36" t="s">
        <v>114</v>
      </c>
      <c r="H36">
        <v>538.27664249345389</v>
      </c>
      <c r="I36">
        <v>481.82621910050619</v>
      </c>
      <c r="J36">
        <v>433.77810172434744</v>
      </c>
      <c r="K36">
        <v>392.64303420535117</v>
      </c>
    </row>
    <row r="37" spans="2:11" x14ac:dyDescent="0.35">
      <c r="B37" t="s">
        <v>42</v>
      </c>
      <c r="C37" t="s">
        <v>107</v>
      </c>
      <c r="D37">
        <v>45</v>
      </c>
      <c r="E37" t="s">
        <v>108</v>
      </c>
      <c r="F37" t="s">
        <v>111</v>
      </c>
      <c r="G37" t="s">
        <v>109</v>
      </c>
      <c r="H37">
        <v>574.17553122891968</v>
      </c>
      <c r="I37">
        <v>513.90108824447725</v>
      </c>
      <c r="J37">
        <v>462.60261962504353</v>
      </c>
      <c r="K37">
        <v>418.68870721176268</v>
      </c>
    </row>
    <row r="38" spans="2:11" x14ac:dyDescent="0.35">
      <c r="B38" t="s">
        <v>43</v>
      </c>
      <c r="C38" t="s">
        <v>107</v>
      </c>
      <c r="D38">
        <v>41</v>
      </c>
      <c r="E38" t="s">
        <v>108</v>
      </c>
      <c r="F38" t="s">
        <v>111</v>
      </c>
      <c r="G38" t="s">
        <v>114</v>
      </c>
      <c r="H38">
        <v>590.069737507132</v>
      </c>
      <c r="I38">
        <v>528.09882270716992</v>
      </c>
      <c r="J38">
        <v>475.35863491426238</v>
      </c>
      <c r="K38">
        <v>430.2123612207298</v>
      </c>
    </row>
    <row r="39" spans="2:11" x14ac:dyDescent="0.35">
      <c r="B39" t="s">
        <v>44</v>
      </c>
      <c r="C39" t="s">
        <v>110</v>
      </c>
      <c r="D39">
        <v>28</v>
      </c>
      <c r="E39" t="s">
        <v>113</v>
      </c>
      <c r="F39" t="s">
        <v>108</v>
      </c>
      <c r="G39" t="s">
        <v>109</v>
      </c>
      <c r="H39">
        <v>538.27664249345389</v>
      </c>
      <c r="I39">
        <v>481.82621910050619</v>
      </c>
      <c r="J39">
        <v>433.77810172434744</v>
      </c>
      <c r="K39">
        <v>392.64303420535117</v>
      </c>
    </row>
    <row r="40" spans="2:11" x14ac:dyDescent="0.35">
      <c r="B40" t="s">
        <v>45</v>
      </c>
      <c r="C40" t="s">
        <v>110</v>
      </c>
      <c r="D40">
        <v>41</v>
      </c>
      <c r="E40" t="s">
        <v>108</v>
      </c>
      <c r="F40" t="s">
        <v>112</v>
      </c>
      <c r="G40" t="s">
        <v>109</v>
      </c>
      <c r="H40">
        <v>557.33220929178833</v>
      </c>
      <c r="I40">
        <v>498.836856274632</v>
      </c>
      <c r="J40">
        <v>449.05170948843761</v>
      </c>
      <c r="K40">
        <v>406.43255998604064</v>
      </c>
    </row>
    <row r="41" spans="2:11" x14ac:dyDescent="0.35">
      <c r="B41" t="s">
        <v>46</v>
      </c>
      <c r="C41" t="s">
        <v>107</v>
      </c>
      <c r="D41">
        <v>26</v>
      </c>
      <c r="E41" t="s">
        <v>108</v>
      </c>
      <c r="F41" t="s">
        <v>113</v>
      </c>
      <c r="G41" t="s">
        <v>109</v>
      </c>
      <c r="H41">
        <v>565.56794622267739</v>
      </c>
      <c r="I41">
        <v>506.20043179377302</v>
      </c>
      <c r="J41">
        <v>455.67358043810168</v>
      </c>
      <c r="K41">
        <v>412.41999156753161</v>
      </c>
    </row>
    <row r="42" spans="2:11" x14ac:dyDescent="0.35">
      <c r="B42" t="s">
        <v>47</v>
      </c>
      <c r="C42" t="s">
        <v>110</v>
      </c>
      <c r="D42">
        <v>35</v>
      </c>
      <c r="E42" t="s">
        <v>112</v>
      </c>
      <c r="F42" t="s">
        <v>115</v>
      </c>
      <c r="G42" t="s">
        <v>109</v>
      </c>
      <c r="H42">
        <v>595.35541770715793</v>
      </c>
      <c r="I42">
        <v>532.76673788284018</v>
      </c>
      <c r="J42">
        <v>479.50554213534923</v>
      </c>
      <c r="K42">
        <v>433.91735060631873</v>
      </c>
    </row>
    <row r="43" spans="2:11" x14ac:dyDescent="0.35">
      <c r="B43" t="s">
        <v>48</v>
      </c>
      <c r="C43" t="s">
        <v>110</v>
      </c>
      <c r="D43">
        <v>28</v>
      </c>
      <c r="E43" t="s">
        <v>113</v>
      </c>
      <c r="F43" t="s">
        <v>111</v>
      </c>
      <c r="G43" t="s">
        <v>114</v>
      </c>
      <c r="H43">
        <v>954.0666402121177</v>
      </c>
      <c r="I43">
        <v>852.76780314522671</v>
      </c>
      <c r="J43">
        <v>766.64089538319377</v>
      </c>
      <c r="K43">
        <v>692.98664703774011</v>
      </c>
    </row>
    <row r="44" spans="2:11" x14ac:dyDescent="0.35">
      <c r="B44" t="s">
        <v>49</v>
      </c>
      <c r="C44" t="s">
        <v>107</v>
      </c>
      <c r="D44">
        <v>29</v>
      </c>
      <c r="E44" t="s">
        <v>112</v>
      </c>
      <c r="F44" t="s">
        <v>112</v>
      </c>
      <c r="G44" t="s">
        <v>109</v>
      </c>
      <c r="H44">
        <v>825.07732146275885</v>
      </c>
      <c r="I44">
        <v>737.99109685287067</v>
      </c>
      <c r="J44">
        <v>663.90942987966014</v>
      </c>
      <c r="K44">
        <v>600.52279126780263</v>
      </c>
    </row>
    <row r="45" spans="2:11" x14ac:dyDescent="0.35">
      <c r="B45" t="s">
        <v>50</v>
      </c>
      <c r="C45" t="s">
        <v>110</v>
      </c>
      <c r="D45">
        <v>37</v>
      </c>
      <c r="E45" t="s">
        <v>111</v>
      </c>
      <c r="F45" t="s">
        <v>113</v>
      </c>
      <c r="G45" t="s">
        <v>114</v>
      </c>
      <c r="H45">
        <v>1016.3549563711014</v>
      </c>
      <c r="I45">
        <v>908.5301313966886</v>
      </c>
      <c r="J45">
        <v>816.84810913231672</v>
      </c>
      <c r="K45">
        <v>738.43759019094568</v>
      </c>
    </row>
    <row r="46" spans="2:11" x14ac:dyDescent="0.35">
      <c r="B46" t="s">
        <v>51</v>
      </c>
      <c r="C46" t="s">
        <v>110</v>
      </c>
      <c r="D46">
        <v>29</v>
      </c>
      <c r="E46" t="s">
        <v>113</v>
      </c>
      <c r="F46" t="s">
        <v>113</v>
      </c>
      <c r="G46" t="s">
        <v>109</v>
      </c>
      <c r="H46">
        <v>800.12346646563526</v>
      </c>
      <c r="I46">
        <v>715.44274041261042</v>
      </c>
      <c r="J46">
        <v>643.42454954084189</v>
      </c>
      <c r="K46">
        <v>581.81826136291852</v>
      </c>
    </row>
    <row r="47" spans="2:11" x14ac:dyDescent="0.35">
      <c r="B47" t="s">
        <v>52</v>
      </c>
      <c r="C47" t="s">
        <v>107</v>
      </c>
      <c r="D47">
        <v>44</v>
      </c>
      <c r="E47" t="s">
        <v>108</v>
      </c>
      <c r="F47" t="s">
        <v>115</v>
      </c>
      <c r="G47" t="s">
        <v>114</v>
      </c>
      <c r="H47">
        <v>549.70546897505801</v>
      </c>
      <c r="I47">
        <v>492.03744310521336</v>
      </c>
      <c r="J47">
        <v>442.95439799629639</v>
      </c>
      <c r="K47">
        <v>400.93454432379207</v>
      </c>
    </row>
    <row r="48" spans="2:11" x14ac:dyDescent="0.35">
      <c r="B48" t="s">
        <v>53</v>
      </c>
      <c r="C48" t="s">
        <v>110</v>
      </c>
      <c r="D48">
        <v>37</v>
      </c>
      <c r="E48" t="s">
        <v>113</v>
      </c>
      <c r="F48" t="s">
        <v>108</v>
      </c>
      <c r="G48" t="s">
        <v>109</v>
      </c>
      <c r="H48">
        <v>538.27664249345389</v>
      </c>
      <c r="I48">
        <v>481.82621910050619</v>
      </c>
      <c r="J48">
        <v>433.77810172434744</v>
      </c>
      <c r="K48">
        <v>392.64303420535117</v>
      </c>
    </row>
    <row r="49" spans="2:11" x14ac:dyDescent="0.35">
      <c r="B49" t="s">
        <v>54</v>
      </c>
      <c r="C49" t="s">
        <v>110</v>
      </c>
      <c r="D49">
        <v>42</v>
      </c>
      <c r="E49" t="s">
        <v>108</v>
      </c>
      <c r="F49" t="s">
        <v>112</v>
      </c>
      <c r="G49" t="s">
        <v>114</v>
      </c>
      <c r="H49">
        <v>567.26370017282545</v>
      </c>
      <c r="I49">
        <v>507.70354452602032</v>
      </c>
      <c r="J49">
        <v>457.01384694677597</v>
      </c>
      <c r="K49">
        <v>413.62180515203949</v>
      </c>
    </row>
    <row r="50" spans="2:11" x14ac:dyDescent="0.35">
      <c r="B50" t="s">
        <v>55</v>
      </c>
      <c r="C50" t="s">
        <v>110</v>
      </c>
      <c r="D50">
        <v>44</v>
      </c>
      <c r="E50" t="s">
        <v>113</v>
      </c>
      <c r="F50" t="s">
        <v>108</v>
      </c>
      <c r="G50" t="s">
        <v>114</v>
      </c>
      <c r="H50">
        <v>538.27664249345389</v>
      </c>
      <c r="I50">
        <v>481.82621910050619</v>
      </c>
      <c r="J50">
        <v>433.77810172434744</v>
      </c>
      <c r="K50">
        <v>392.64303420535117</v>
      </c>
    </row>
    <row r="51" spans="2:11" x14ac:dyDescent="0.35">
      <c r="B51" t="s">
        <v>56</v>
      </c>
      <c r="C51" t="s">
        <v>110</v>
      </c>
      <c r="D51">
        <v>31</v>
      </c>
      <c r="E51" t="s">
        <v>112</v>
      </c>
      <c r="F51" t="s">
        <v>112</v>
      </c>
      <c r="G51" t="s">
        <v>109</v>
      </c>
      <c r="H51">
        <v>734.6468455238587</v>
      </c>
      <c r="I51">
        <v>657.04429204398559</v>
      </c>
      <c r="J51">
        <v>591.03470878996973</v>
      </c>
      <c r="K51">
        <v>534.55876152130384</v>
      </c>
    </row>
    <row r="52" spans="2:11" x14ac:dyDescent="0.35">
      <c r="B52" t="s">
        <v>57</v>
      </c>
      <c r="C52" t="s">
        <v>107</v>
      </c>
      <c r="D52">
        <v>25</v>
      </c>
      <c r="E52" t="s">
        <v>108</v>
      </c>
      <c r="F52" t="s">
        <v>108</v>
      </c>
      <c r="G52" t="s">
        <v>109</v>
      </c>
      <c r="H52">
        <v>538.27664249345389</v>
      </c>
      <c r="I52">
        <v>481.82621910050619</v>
      </c>
      <c r="J52">
        <v>433.77810172434744</v>
      </c>
      <c r="K52">
        <v>392.64303420535117</v>
      </c>
    </row>
    <row r="53" spans="2:11" x14ac:dyDescent="0.35">
      <c r="B53" t="s">
        <v>58</v>
      </c>
      <c r="C53" t="s">
        <v>110</v>
      </c>
      <c r="D53">
        <v>32</v>
      </c>
      <c r="E53" t="s">
        <v>111</v>
      </c>
      <c r="F53" t="s">
        <v>108</v>
      </c>
      <c r="G53" t="s">
        <v>109</v>
      </c>
      <c r="H53">
        <v>538.27664249345389</v>
      </c>
      <c r="I53">
        <v>481.82621910050619</v>
      </c>
      <c r="J53">
        <v>433.77810172434744</v>
      </c>
      <c r="K53">
        <v>392.64303420535117</v>
      </c>
    </row>
    <row r="54" spans="2:11" x14ac:dyDescent="0.35">
      <c r="B54" t="s">
        <v>59</v>
      </c>
      <c r="C54" t="s">
        <v>110</v>
      </c>
      <c r="D54">
        <v>32</v>
      </c>
      <c r="E54" t="s">
        <v>113</v>
      </c>
      <c r="F54" t="s">
        <v>115</v>
      </c>
      <c r="G54" t="s">
        <v>114</v>
      </c>
      <c r="H54">
        <v>633.54021341601481</v>
      </c>
      <c r="I54">
        <v>566.83280172368211</v>
      </c>
      <c r="J54">
        <v>510.07457420605959</v>
      </c>
      <c r="K54">
        <v>461.49992729500747</v>
      </c>
    </row>
    <row r="55" spans="2:11" x14ac:dyDescent="0.35">
      <c r="B55" t="s">
        <v>60</v>
      </c>
      <c r="C55" t="s">
        <v>110</v>
      </c>
      <c r="D55">
        <v>35</v>
      </c>
      <c r="E55" t="s">
        <v>108</v>
      </c>
      <c r="F55" t="s">
        <v>113</v>
      </c>
      <c r="G55" t="s">
        <v>109</v>
      </c>
      <c r="H55">
        <v>558.88842243173599</v>
      </c>
      <c r="I55">
        <v>500.22140643857125</v>
      </c>
      <c r="J55">
        <v>450.29078853943128</v>
      </c>
      <c r="K55">
        <v>407.54764846125619</v>
      </c>
    </row>
    <row r="56" spans="2:11" x14ac:dyDescent="0.35">
      <c r="B56" t="s">
        <v>61</v>
      </c>
      <c r="C56" t="s">
        <v>110</v>
      </c>
      <c r="D56">
        <v>39</v>
      </c>
      <c r="E56" t="s">
        <v>108</v>
      </c>
      <c r="F56" t="s">
        <v>111</v>
      </c>
      <c r="G56" t="s">
        <v>114</v>
      </c>
      <c r="H56">
        <v>573.62783279096834</v>
      </c>
      <c r="I56">
        <v>513.38122183282724</v>
      </c>
      <c r="J56">
        <v>462.10868562522768</v>
      </c>
      <c r="K56">
        <v>418.21890126682092</v>
      </c>
    </row>
    <row r="57" spans="2:11" x14ac:dyDescent="0.35">
      <c r="B57" t="s">
        <v>62</v>
      </c>
      <c r="C57" t="s">
        <v>107</v>
      </c>
      <c r="D57">
        <v>45</v>
      </c>
      <c r="E57" t="s">
        <v>108</v>
      </c>
      <c r="F57" t="s">
        <v>112</v>
      </c>
      <c r="G57" t="s">
        <v>109</v>
      </c>
      <c r="H57">
        <v>566.48291221417696</v>
      </c>
      <c r="I57">
        <v>507.02790199934071</v>
      </c>
      <c r="J57">
        <v>456.42593721775154</v>
      </c>
      <c r="K57">
        <v>413.10749156753161</v>
      </c>
    </row>
    <row r="58" spans="2:11" x14ac:dyDescent="0.35">
      <c r="B58" t="s">
        <v>63</v>
      </c>
      <c r="C58" t="s">
        <v>110</v>
      </c>
      <c r="D58">
        <v>42</v>
      </c>
      <c r="E58" t="s">
        <v>113</v>
      </c>
      <c r="F58" t="s">
        <v>108</v>
      </c>
      <c r="G58" t="s">
        <v>114</v>
      </c>
      <c r="H58">
        <v>538.27664249345389</v>
      </c>
      <c r="I58">
        <v>481.82621910050619</v>
      </c>
      <c r="J58">
        <v>433.77810172434744</v>
      </c>
      <c r="K58">
        <v>392.64303420535117</v>
      </c>
    </row>
    <row r="59" spans="2:11" x14ac:dyDescent="0.35">
      <c r="B59" t="s">
        <v>64</v>
      </c>
      <c r="C59" t="s">
        <v>110</v>
      </c>
      <c r="D59">
        <v>32</v>
      </c>
      <c r="E59" t="s">
        <v>108</v>
      </c>
      <c r="F59" t="s">
        <v>113</v>
      </c>
      <c r="G59" t="s">
        <v>114</v>
      </c>
      <c r="H59">
        <v>567.76298587424662</v>
      </c>
      <c r="I59">
        <v>508.137780388632</v>
      </c>
      <c r="J59">
        <v>457.39367654011539</v>
      </c>
      <c r="K59">
        <v>413.95588206643527</v>
      </c>
    </row>
    <row r="60" spans="2:11" x14ac:dyDescent="0.35">
      <c r="B60" t="s">
        <v>65</v>
      </c>
      <c r="C60" t="s">
        <v>107</v>
      </c>
      <c r="D60">
        <v>25</v>
      </c>
      <c r="E60" t="s">
        <v>108</v>
      </c>
      <c r="F60" t="s">
        <v>112</v>
      </c>
      <c r="G60" t="s">
        <v>109</v>
      </c>
      <c r="H60">
        <v>561.10014578924245</v>
      </c>
      <c r="I60">
        <v>502.20963980833551</v>
      </c>
      <c r="J60">
        <v>452.08815620050808</v>
      </c>
      <c r="K60">
        <v>409.18106122547817</v>
      </c>
    </row>
    <row r="61" spans="2:11" x14ac:dyDescent="0.35">
      <c r="B61" t="s">
        <v>66</v>
      </c>
      <c r="C61" t="s">
        <v>110</v>
      </c>
      <c r="D61">
        <v>29</v>
      </c>
      <c r="E61" t="s">
        <v>111</v>
      </c>
      <c r="F61" t="s">
        <v>112</v>
      </c>
      <c r="G61" t="s">
        <v>109</v>
      </c>
      <c r="H61">
        <v>775.66524664405802</v>
      </c>
      <c r="I61">
        <v>693.62141699334791</v>
      </c>
      <c r="J61">
        <v>623.8421890305101</v>
      </c>
      <c r="K61">
        <v>564.14804783721172</v>
      </c>
    </row>
    <row r="62" spans="2:11" x14ac:dyDescent="0.35">
      <c r="B62" t="s">
        <v>67</v>
      </c>
      <c r="C62" t="s">
        <v>107</v>
      </c>
      <c r="D62">
        <v>39</v>
      </c>
      <c r="E62" t="s">
        <v>108</v>
      </c>
      <c r="F62" t="s">
        <v>115</v>
      </c>
      <c r="G62" t="s">
        <v>109</v>
      </c>
      <c r="H62">
        <v>545.52885334615655</v>
      </c>
      <c r="I62">
        <v>488.30518389365153</v>
      </c>
      <c r="J62">
        <v>439.59987477568308</v>
      </c>
      <c r="K62">
        <v>397.90299645795972</v>
      </c>
    </row>
    <row r="63" spans="2:11" x14ac:dyDescent="0.35">
      <c r="B63" t="s">
        <v>68</v>
      </c>
      <c r="C63" t="s">
        <v>110</v>
      </c>
      <c r="D63">
        <v>31</v>
      </c>
      <c r="E63" t="s">
        <v>113</v>
      </c>
      <c r="F63" t="s">
        <v>111</v>
      </c>
      <c r="G63" t="s">
        <v>109</v>
      </c>
      <c r="H63">
        <v>829.85664093253979</v>
      </c>
      <c r="I63">
        <v>741.99850922870314</v>
      </c>
      <c r="J63">
        <v>667.28033645815026</v>
      </c>
      <c r="K63">
        <v>603.36638688661412</v>
      </c>
    </row>
    <row r="64" spans="2:11" x14ac:dyDescent="0.35">
      <c r="B64" t="s">
        <v>69</v>
      </c>
      <c r="C64" t="s">
        <v>110</v>
      </c>
      <c r="D64">
        <v>43</v>
      </c>
      <c r="E64" t="s">
        <v>113</v>
      </c>
      <c r="F64" t="s">
        <v>111</v>
      </c>
      <c r="G64" t="s">
        <v>109</v>
      </c>
      <c r="H64">
        <v>887.4033074391125</v>
      </c>
      <c r="I64">
        <v>793.51011228890252</v>
      </c>
      <c r="J64">
        <v>713.65515896977161</v>
      </c>
      <c r="K64">
        <v>645.34349672529527</v>
      </c>
    </row>
    <row r="65" spans="2:11" x14ac:dyDescent="0.35">
      <c r="B65" t="s">
        <v>70</v>
      </c>
      <c r="C65" t="s">
        <v>110</v>
      </c>
      <c r="D65">
        <v>35</v>
      </c>
      <c r="E65" t="s">
        <v>111</v>
      </c>
      <c r="F65" t="s">
        <v>111</v>
      </c>
      <c r="G65" t="s">
        <v>114</v>
      </c>
      <c r="H65">
        <v>1037.715925613363</v>
      </c>
      <c r="I65">
        <v>927.55575844592943</v>
      </c>
      <c r="J65">
        <v>833.89320532061345</v>
      </c>
      <c r="K65">
        <v>753.7933027138173</v>
      </c>
    </row>
    <row r="66" spans="2:11" x14ac:dyDescent="0.35">
      <c r="B66" t="s">
        <v>71</v>
      </c>
      <c r="C66" t="s">
        <v>107</v>
      </c>
      <c r="D66">
        <v>27</v>
      </c>
      <c r="E66" t="s">
        <v>113</v>
      </c>
      <c r="F66" t="s">
        <v>113</v>
      </c>
      <c r="G66" t="s">
        <v>109</v>
      </c>
      <c r="H66">
        <v>924.80791056320993</v>
      </c>
      <c r="I66">
        <v>827.05121370970937</v>
      </c>
      <c r="J66">
        <v>743.90333164935453</v>
      </c>
      <c r="K66">
        <v>672.7686660133943</v>
      </c>
    </row>
    <row r="67" spans="2:11" x14ac:dyDescent="0.35">
      <c r="B67" t="s">
        <v>72</v>
      </c>
      <c r="C67" t="s">
        <v>110</v>
      </c>
      <c r="D67">
        <v>35</v>
      </c>
      <c r="E67" t="s">
        <v>108</v>
      </c>
      <c r="F67" t="s">
        <v>111</v>
      </c>
      <c r="G67" t="s">
        <v>109</v>
      </c>
      <c r="H67">
        <v>560.47394396544985</v>
      </c>
      <c r="I67">
        <v>501.63642084919172</v>
      </c>
      <c r="J67">
        <v>451.56099521751474</v>
      </c>
      <c r="K67">
        <v>408.694157250172</v>
      </c>
    </row>
    <row r="68" spans="2:11" x14ac:dyDescent="0.35">
      <c r="B68" t="s">
        <v>73</v>
      </c>
      <c r="C68" t="s">
        <v>107</v>
      </c>
      <c r="D68">
        <v>36</v>
      </c>
      <c r="E68" t="s">
        <v>115</v>
      </c>
      <c r="F68" t="s">
        <v>113</v>
      </c>
      <c r="G68" t="s">
        <v>114</v>
      </c>
      <c r="H68">
        <v>721.1088185571989</v>
      </c>
      <c r="I68">
        <v>645.15442484639766</v>
      </c>
      <c r="J68">
        <v>580.53037943164543</v>
      </c>
      <c r="K68">
        <v>525.22575868207809</v>
      </c>
    </row>
    <row r="69" spans="2:11" x14ac:dyDescent="0.35">
      <c r="B69" t="s">
        <v>74</v>
      </c>
      <c r="C69" t="s">
        <v>110</v>
      </c>
      <c r="D69">
        <v>45</v>
      </c>
      <c r="E69" t="s">
        <v>113</v>
      </c>
      <c r="F69" t="s">
        <v>113</v>
      </c>
      <c r="G69" t="s">
        <v>114</v>
      </c>
      <c r="H69">
        <v>1037.9192591067902</v>
      </c>
      <c r="I69">
        <v>927.91540675189026</v>
      </c>
      <c r="J69">
        <v>834.37244382781432</v>
      </c>
      <c r="K69">
        <v>754.36336464211001</v>
      </c>
    </row>
    <row r="70" spans="2:11" x14ac:dyDescent="0.35">
      <c r="B70" t="s">
        <v>75</v>
      </c>
      <c r="C70" t="s">
        <v>107</v>
      </c>
      <c r="D70">
        <v>38</v>
      </c>
      <c r="E70" t="s">
        <v>111</v>
      </c>
      <c r="F70" t="s">
        <v>113</v>
      </c>
      <c r="G70" t="s">
        <v>109</v>
      </c>
      <c r="H70">
        <v>1004.8992594970185</v>
      </c>
      <c r="I70">
        <v>898.68819825838068</v>
      </c>
      <c r="J70">
        <v>808.34849870497897</v>
      </c>
      <c r="K70">
        <v>731.06033554899068</v>
      </c>
    </row>
    <row r="71" spans="2:11" x14ac:dyDescent="0.35">
      <c r="B71" t="s">
        <v>76</v>
      </c>
      <c r="C71" t="s">
        <v>110</v>
      </c>
      <c r="D71">
        <v>33</v>
      </c>
      <c r="E71" t="s">
        <v>108</v>
      </c>
      <c r="F71" t="s">
        <v>113</v>
      </c>
      <c r="G71" t="s">
        <v>109</v>
      </c>
      <c r="H71">
        <v>558.25227730878908</v>
      </c>
      <c r="I71">
        <v>499.65197545236168</v>
      </c>
      <c r="J71">
        <v>449.77814169193891</v>
      </c>
      <c r="K71">
        <v>407.08361578446807</v>
      </c>
    </row>
    <row r="72" spans="2:11" x14ac:dyDescent="0.35">
      <c r="B72" t="s">
        <v>77</v>
      </c>
      <c r="C72" t="s">
        <v>110</v>
      </c>
      <c r="D72">
        <v>42</v>
      </c>
      <c r="E72" t="s">
        <v>115</v>
      </c>
      <c r="F72" t="s">
        <v>115</v>
      </c>
      <c r="G72" t="s">
        <v>109</v>
      </c>
      <c r="H72">
        <v>559.35813898754247</v>
      </c>
      <c r="I72">
        <v>500.64609213724367</v>
      </c>
      <c r="J72">
        <v>450.67682552247732</v>
      </c>
      <c r="K72">
        <v>407.90032216657897</v>
      </c>
    </row>
    <row r="73" spans="2:11" x14ac:dyDescent="0.35">
      <c r="B73" t="s">
        <v>78</v>
      </c>
      <c r="C73" t="s">
        <v>110</v>
      </c>
      <c r="D73">
        <v>29</v>
      </c>
      <c r="E73" t="s">
        <v>112</v>
      </c>
      <c r="F73" t="s">
        <v>115</v>
      </c>
      <c r="G73" t="s">
        <v>109</v>
      </c>
      <c r="H73">
        <v>590.07051976267655</v>
      </c>
      <c r="I73">
        <v>528.03608045894441</v>
      </c>
      <c r="J73">
        <v>475.24662986387375</v>
      </c>
      <c r="K73">
        <v>430.06230990684799</v>
      </c>
    </row>
    <row r="74" spans="2:11" x14ac:dyDescent="0.35">
      <c r="B74" t="s">
        <v>79</v>
      </c>
      <c r="C74" t="s">
        <v>110</v>
      </c>
      <c r="D74">
        <v>27</v>
      </c>
      <c r="E74" t="s">
        <v>108</v>
      </c>
      <c r="F74" t="s">
        <v>111</v>
      </c>
      <c r="G74" t="s">
        <v>114</v>
      </c>
      <c r="H74">
        <v>567.46211852240697</v>
      </c>
      <c r="I74">
        <v>507.86212150494873</v>
      </c>
      <c r="J74">
        <v>457.13995464183972</v>
      </c>
      <c r="K74">
        <v>413.72135378410502</v>
      </c>
    </row>
    <row r="75" spans="2:11" x14ac:dyDescent="0.35">
      <c r="B75" t="s">
        <v>80</v>
      </c>
      <c r="C75" t="s">
        <v>107</v>
      </c>
      <c r="D75">
        <v>43</v>
      </c>
      <c r="E75" t="s">
        <v>108</v>
      </c>
      <c r="F75" t="s">
        <v>111</v>
      </c>
      <c r="G75" t="s">
        <v>114</v>
      </c>
      <c r="H75">
        <v>591.09735655189218</v>
      </c>
      <c r="I75">
        <v>529.01867276181645</v>
      </c>
      <c r="J75">
        <v>476.18675674482699</v>
      </c>
      <c r="K75">
        <v>430.96195246784913</v>
      </c>
    </row>
    <row r="76" spans="2:11" x14ac:dyDescent="0.35">
      <c r="B76" t="s">
        <v>81</v>
      </c>
      <c r="C76" t="s">
        <v>110</v>
      </c>
      <c r="D76">
        <v>40</v>
      </c>
      <c r="E76" t="s">
        <v>112</v>
      </c>
      <c r="F76" t="s">
        <v>112</v>
      </c>
      <c r="G76" t="s">
        <v>109</v>
      </c>
      <c r="H76">
        <v>763.713784218505</v>
      </c>
      <c r="I76">
        <v>683.06290787541298</v>
      </c>
      <c r="J76">
        <v>614.4587262830845</v>
      </c>
      <c r="K76">
        <v>555.76148536839275</v>
      </c>
    </row>
    <row r="77" spans="2:11" x14ac:dyDescent="0.35">
      <c r="B77" t="s">
        <v>82</v>
      </c>
      <c r="C77" t="s">
        <v>110</v>
      </c>
      <c r="D77">
        <v>29</v>
      </c>
      <c r="E77" t="s">
        <v>111</v>
      </c>
      <c r="F77" t="s">
        <v>113</v>
      </c>
      <c r="G77" t="s">
        <v>109</v>
      </c>
      <c r="H77">
        <v>818.82681103507673</v>
      </c>
      <c r="I77">
        <v>732.12963479204632</v>
      </c>
      <c r="J77">
        <v>658.39929581344893</v>
      </c>
      <c r="K77">
        <v>595.33077758845889</v>
      </c>
    </row>
    <row r="78" spans="2:11" x14ac:dyDescent="0.35">
      <c r="B78" t="s">
        <v>83</v>
      </c>
      <c r="C78" t="s">
        <v>107</v>
      </c>
      <c r="D78">
        <v>35</v>
      </c>
      <c r="E78" t="s">
        <v>108</v>
      </c>
      <c r="F78" t="s">
        <v>108</v>
      </c>
      <c r="G78" t="s">
        <v>109</v>
      </c>
      <c r="H78">
        <v>538.27664249345389</v>
      </c>
      <c r="I78">
        <v>481.82621910050619</v>
      </c>
      <c r="J78">
        <v>433.77810172434744</v>
      </c>
      <c r="K78">
        <v>392.64303420535117</v>
      </c>
    </row>
    <row r="79" spans="2:11" x14ac:dyDescent="0.35">
      <c r="B79" t="s">
        <v>84</v>
      </c>
      <c r="C79" t="s">
        <v>110</v>
      </c>
      <c r="D79">
        <v>44</v>
      </c>
      <c r="E79" t="s">
        <v>108</v>
      </c>
      <c r="F79" t="s">
        <v>111</v>
      </c>
      <c r="G79" t="s">
        <v>114</v>
      </c>
      <c r="H79">
        <v>576.19688040286894</v>
      </c>
      <c r="I79">
        <v>515.68084696944322</v>
      </c>
      <c r="J79">
        <v>464.17899020163935</v>
      </c>
      <c r="K79">
        <v>420.09287938461921</v>
      </c>
    </row>
    <row r="80" spans="2:11" x14ac:dyDescent="0.35">
      <c r="B80" t="s">
        <v>85</v>
      </c>
      <c r="C80" t="s">
        <v>107</v>
      </c>
      <c r="D80">
        <v>32</v>
      </c>
      <c r="E80" t="s">
        <v>112</v>
      </c>
      <c r="F80" t="s">
        <v>113</v>
      </c>
      <c r="G80" t="s">
        <v>109</v>
      </c>
      <c r="H80">
        <v>888.67351167022059</v>
      </c>
      <c r="I80">
        <v>794.81628692325683</v>
      </c>
      <c r="J80">
        <v>714.97913279912575</v>
      </c>
      <c r="K80">
        <v>646.67169891588969</v>
      </c>
    </row>
    <row r="81" spans="2:11" x14ac:dyDescent="0.35">
      <c r="B81" t="s">
        <v>86</v>
      </c>
      <c r="C81" t="s">
        <v>107</v>
      </c>
      <c r="D81">
        <v>25</v>
      </c>
      <c r="E81" t="s">
        <v>113</v>
      </c>
      <c r="F81" t="s">
        <v>111</v>
      </c>
      <c r="G81" t="s">
        <v>109</v>
      </c>
      <c r="H81">
        <v>944.94997394568531</v>
      </c>
      <c r="I81">
        <v>845.02171534910212</v>
      </c>
      <c r="J81">
        <v>760.0299814813925</v>
      </c>
      <c r="K81">
        <v>687.32060656397641</v>
      </c>
    </row>
    <row r="82" spans="2:11" x14ac:dyDescent="0.35">
      <c r="B82" t="s">
        <v>87</v>
      </c>
      <c r="C82" t="s">
        <v>110</v>
      </c>
      <c r="D82">
        <v>26</v>
      </c>
      <c r="E82" t="s">
        <v>111</v>
      </c>
      <c r="F82" t="s">
        <v>113</v>
      </c>
      <c r="G82" t="s">
        <v>114</v>
      </c>
      <c r="H82">
        <v>937.63199740643358</v>
      </c>
      <c r="I82">
        <v>838.0630468532396</v>
      </c>
      <c r="J82">
        <v>753.4080617551308</v>
      </c>
      <c r="K82">
        <v>681.01354643841319</v>
      </c>
    </row>
    <row r="83" spans="2:11" x14ac:dyDescent="0.35">
      <c r="B83" t="s">
        <v>88</v>
      </c>
      <c r="C83" t="s">
        <v>107</v>
      </c>
      <c r="D83">
        <v>41</v>
      </c>
      <c r="E83" t="s">
        <v>108</v>
      </c>
      <c r="F83" t="s">
        <v>115</v>
      </c>
      <c r="G83" t="s">
        <v>114</v>
      </c>
      <c r="H83">
        <v>549.37516285352785</v>
      </c>
      <c r="I83">
        <v>491.74177701621994</v>
      </c>
      <c r="J83">
        <v>442.68821597932913</v>
      </c>
      <c r="K83">
        <v>400.69360428007525</v>
      </c>
    </row>
    <row r="84" spans="2:11" x14ac:dyDescent="0.35">
      <c r="B84" t="s">
        <v>89</v>
      </c>
      <c r="C84" t="s">
        <v>110</v>
      </c>
      <c r="D84">
        <v>27</v>
      </c>
      <c r="E84" t="s">
        <v>113</v>
      </c>
      <c r="F84" t="s">
        <v>112</v>
      </c>
      <c r="G84" t="s">
        <v>114</v>
      </c>
      <c r="H84">
        <v>859.31687881193704</v>
      </c>
      <c r="I84">
        <v>768.221145549374</v>
      </c>
      <c r="J84">
        <v>690.75848381676394</v>
      </c>
      <c r="K84">
        <v>624.50454957164357</v>
      </c>
    </row>
    <row r="85" spans="2:11" x14ac:dyDescent="0.35">
      <c r="B85" t="s">
        <v>90</v>
      </c>
      <c r="C85" t="s">
        <v>110</v>
      </c>
      <c r="D85">
        <v>45</v>
      </c>
      <c r="E85" t="s">
        <v>115</v>
      </c>
      <c r="F85" t="s">
        <v>115</v>
      </c>
      <c r="G85" t="s">
        <v>114</v>
      </c>
      <c r="H85">
        <v>571.22011172070688</v>
      </c>
      <c r="I85">
        <v>511.23869301158652</v>
      </c>
      <c r="J85">
        <v>460.19091548941122</v>
      </c>
      <c r="K85">
        <v>416.49272632206066</v>
      </c>
    </row>
    <row r="86" spans="2:11" x14ac:dyDescent="0.35">
      <c r="B86" t="s">
        <v>91</v>
      </c>
      <c r="C86" t="s">
        <v>110</v>
      </c>
      <c r="D86">
        <v>36</v>
      </c>
      <c r="E86" t="s">
        <v>115</v>
      </c>
      <c r="F86" t="s">
        <v>113</v>
      </c>
      <c r="G86" t="s">
        <v>114</v>
      </c>
      <c r="H86">
        <v>663.8557574919862</v>
      </c>
      <c r="I86">
        <v>593.90563608752575</v>
      </c>
      <c r="J86">
        <v>534.39216315732858</v>
      </c>
      <c r="K86">
        <v>483.4628177711453</v>
      </c>
    </row>
    <row r="87" spans="2:11" x14ac:dyDescent="0.35">
      <c r="B87" t="s">
        <v>92</v>
      </c>
      <c r="C87" t="s">
        <v>110</v>
      </c>
      <c r="D87">
        <v>31</v>
      </c>
      <c r="E87" t="s">
        <v>108</v>
      </c>
      <c r="F87" t="s">
        <v>113</v>
      </c>
      <c r="G87" t="s">
        <v>114</v>
      </c>
      <c r="H87">
        <v>567.28587703203652</v>
      </c>
      <c r="I87">
        <v>507.71070714897473</v>
      </c>
      <c r="J87">
        <v>457.00919140449611</v>
      </c>
      <c r="K87">
        <v>413.60785755884422</v>
      </c>
    </row>
    <row r="88" spans="2:11" x14ac:dyDescent="0.35">
      <c r="B88" t="s">
        <v>93</v>
      </c>
      <c r="C88" t="s">
        <v>107</v>
      </c>
      <c r="D88">
        <v>33</v>
      </c>
      <c r="E88" t="s">
        <v>108</v>
      </c>
      <c r="F88" t="s">
        <v>111</v>
      </c>
      <c r="G88" t="s">
        <v>109</v>
      </c>
      <c r="H88">
        <v>570.06505504987877</v>
      </c>
      <c r="I88">
        <v>510.22168802589158</v>
      </c>
      <c r="J88">
        <v>459.29013230278491</v>
      </c>
      <c r="K88">
        <v>415.69034222328543</v>
      </c>
    </row>
    <row r="89" spans="2:11" x14ac:dyDescent="0.35">
      <c r="B89" t="s">
        <v>94</v>
      </c>
      <c r="C89" t="s">
        <v>107</v>
      </c>
      <c r="D89">
        <v>35</v>
      </c>
      <c r="E89" t="s">
        <v>111</v>
      </c>
      <c r="F89" t="s">
        <v>115</v>
      </c>
      <c r="G89" t="s">
        <v>109</v>
      </c>
      <c r="H89">
        <v>642.65572366359117</v>
      </c>
      <c r="I89">
        <v>575.06847647777306</v>
      </c>
      <c r="J89">
        <v>517.55560393482097</v>
      </c>
      <c r="K89">
        <v>468.32993407825268</v>
      </c>
    </row>
    <row r="90" spans="2:11" x14ac:dyDescent="0.35">
      <c r="B90" t="s">
        <v>95</v>
      </c>
      <c r="C90" t="s">
        <v>110</v>
      </c>
      <c r="D90">
        <v>39</v>
      </c>
      <c r="E90" t="s">
        <v>108</v>
      </c>
      <c r="F90" t="s">
        <v>108</v>
      </c>
      <c r="G90" t="s">
        <v>114</v>
      </c>
      <c r="H90">
        <v>538.27664249345389</v>
      </c>
      <c r="I90">
        <v>481.82621910050619</v>
      </c>
      <c r="J90">
        <v>433.77810172434744</v>
      </c>
      <c r="K90">
        <v>392.64303420535117</v>
      </c>
    </row>
    <row r="91" spans="2:11" x14ac:dyDescent="0.35">
      <c r="B91" t="s">
        <v>96</v>
      </c>
      <c r="C91" t="s">
        <v>107</v>
      </c>
      <c r="D91">
        <v>33</v>
      </c>
      <c r="E91" t="s">
        <v>113</v>
      </c>
      <c r="F91" t="s">
        <v>115</v>
      </c>
      <c r="G91" t="s">
        <v>109</v>
      </c>
      <c r="H91">
        <v>633.64188016272817</v>
      </c>
      <c r="I91">
        <v>567.01262587666247</v>
      </c>
      <c r="J91">
        <v>510.31419345965998</v>
      </c>
      <c r="K91">
        <v>461.78495825915388</v>
      </c>
    </row>
    <row r="92" spans="2:11" x14ac:dyDescent="0.35">
      <c r="B92" t="s">
        <v>97</v>
      </c>
      <c r="C92" t="s">
        <v>107</v>
      </c>
      <c r="D92">
        <v>40</v>
      </c>
      <c r="E92" t="s">
        <v>108</v>
      </c>
      <c r="F92" t="s">
        <v>115</v>
      </c>
      <c r="G92" t="s">
        <v>114</v>
      </c>
      <c r="H92">
        <v>549.26506081301784</v>
      </c>
      <c r="I92">
        <v>491.64322165322204</v>
      </c>
      <c r="J92">
        <v>442.59948864034004</v>
      </c>
      <c r="K92">
        <v>400.6132909321696</v>
      </c>
    </row>
    <row r="93" spans="2:11" x14ac:dyDescent="0.35">
      <c r="B93" t="s">
        <v>98</v>
      </c>
      <c r="C93" t="s">
        <v>110</v>
      </c>
      <c r="D93">
        <v>34</v>
      </c>
      <c r="E93" t="s">
        <v>113</v>
      </c>
      <c r="F93" t="s">
        <v>108</v>
      </c>
      <c r="G93" t="s">
        <v>114</v>
      </c>
      <c r="H93">
        <v>538.27664249345389</v>
      </c>
      <c r="I93">
        <v>481.82621910050619</v>
      </c>
      <c r="J93">
        <v>433.77810172434744</v>
      </c>
      <c r="K93">
        <v>392.64303420535117</v>
      </c>
    </row>
    <row r="94" spans="2:11" x14ac:dyDescent="0.35">
      <c r="B94" t="s">
        <v>99</v>
      </c>
      <c r="C94" t="s">
        <v>107</v>
      </c>
      <c r="D94">
        <v>45</v>
      </c>
      <c r="E94" t="s">
        <v>108</v>
      </c>
      <c r="F94" t="s">
        <v>112</v>
      </c>
      <c r="G94" t="s">
        <v>114</v>
      </c>
      <c r="H94">
        <v>580.58604707453844</v>
      </c>
      <c r="I94">
        <v>519.62874344875786</v>
      </c>
      <c r="J94">
        <v>467.74985496445356</v>
      </c>
      <c r="K94">
        <v>423.33972024862197</v>
      </c>
    </row>
    <row r="95" spans="2:11" x14ac:dyDescent="0.35">
      <c r="B95" t="s">
        <v>100</v>
      </c>
      <c r="C95" t="s">
        <v>107</v>
      </c>
      <c r="D95">
        <v>32</v>
      </c>
      <c r="E95" t="s">
        <v>115</v>
      </c>
      <c r="F95" t="s">
        <v>115</v>
      </c>
      <c r="G95" t="s">
        <v>114</v>
      </c>
      <c r="H95">
        <v>578.70705047538854</v>
      </c>
      <c r="I95">
        <v>517.94045769543891</v>
      </c>
      <c r="J95">
        <v>466.2243745406679</v>
      </c>
      <c r="K95">
        <v>421.95403397964412</v>
      </c>
    </row>
    <row r="96" spans="2:11" x14ac:dyDescent="0.35">
      <c r="B96" t="s">
        <v>101</v>
      </c>
      <c r="C96" t="s">
        <v>110</v>
      </c>
      <c r="D96">
        <v>42</v>
      </c>
      <c r="E96" t="s">
        <v>113</v>
      </c>
      <c r="F96" t="s">
        <v>112</v>
      </c>
      <c r="G96" t="s">
        <v>114</v>
      </c>
      <c r="H96">
        <v>944.09545000465607</v>
      </c>
      <c r="I96">
        <v>844.10877505770372</v>
      </c>
      <c r="J96">
        <v>759.07853483834867</v>
      </c>
      <c r="K96">
        <v>686.34582745898626</v>
      </c>
    </row>
    <row r="97" spans="2:11" x14ac:dyDescent="0.35">
      <c r="B97" t="s">
        <v>102</v>
      </c>
      <c r="C97" t="s">
        <v>110</v>
      </c>
      <c r="D97">
        <v>31</v>
      </c>
      <c r="E97" t="s">
        <v>108</v>
      </c>
      <c r="F97" t="s">
        <v>115</v>
      </c>
      <c r="G97" t="s">
        <v>114</v>
      </c>
      <c r="H97">
        <v>544.97108123312682</v>
      </c>
      <c r="I97">
        <v>487.79956249630663</v>
      </c>
      <c r="J97">
        <v>439.1391224197663</v>
      </c>
      <c r="K97">
        <v>397.48107036384965</v>
      </c>
    </row>
    <row r="98" spans="2:11" x14ac:dyDescent="0.35">
      <c r="B98" t="s">
        <v>103</v>
      </c>
      <c r="C98" t="s">
        <v>107</v>
      </c>
      <c r="D98">
        <v>34</v>
      </c>
      <c r="E98" t="s">
        <v>108</v>
      </c>
      <c r="F98" t="s">
        <v>115</v>
      </c>
      <c r="G98" t="s">
        <v>114</v>
      </c>
      <c r="H98">
        <v>548.60444856995764</v>
      </c>
      <c r="I98">
        <v>491.0518894752351</v>
      </c>
      <c r="J98">
        <v>442.06712460640557</v>
      </c>
      <c r="K98">
        <v>400.13141084473568</v>
      </c>
    </row>
    <row r="99" spans="2:11" x14ac:dyDescent="0.35">
      <c r="B99" t="s">
        <v>104</v>
      </c>
      <c r="C99" t="s">
        <v>110</v>
      </c>
      <c r="D99">
        <v>25</v>
      </c>
      <c r="E99" t="s">
        <v>108</v>
      </c>
      <c r="F99" t="s">
        <v>113</v>
      </c>
      <c r="G99" t="s">
        <v>114</v>
      </c>
      <c r="H99">
        <v>564.42322397877581</v>
      </c>
      <c r="I99">
        <v>505.14826771103111</v>
      </c>
      <c r="J99">
        <v>454.70228059078022</v>
      </c>
      <c r="K99">
        <v>411.51971051329758</v>
      </c>
    </row>
    <row r="100" spans="2:11" x14ac:dyDescent="0.35">
      <c r="B100" t="s">
        <v>105</v>
      </c>
      <c r="C100" t="s">
        <v>107</v>
      </c>
      <c r="D100">
        <v>37</v>
      </c>
      <c r="E100" t="s">
        <v>108</v>
      </c>
      <c r="F100" t="s">
        <v>112</v>
      </c>
      <c r="G100" t="s">
        <v>114</v>
      </c>
      <c r="H100">
        <v>577.35638721957775</v>
      </c>
      <c r="I100">
        <v>516.73778613415482</v>
      </c>
      <c r="J100">
        <v>465.14718635410742</v>
      </c>
      <c r="K100">
        <v>420.98386204338982</v>
      </c>
    </row>
    <row r="101" spans="2:11" x14ac:dyDescent="0.35">
      <c r="B101" t="s">
        <v>106</v>
      </c>
      <c r="C101" t="s">
        <v>107</v>
      </c>
      <c r="D101">
        <v>35</v>
      </c>
      <c r="E101" t="s">
        <v>111</v>
      </c>
      <c r="F101" t="s">
        <v>113</v>
      </c>
      <c r="G101" t="s">
        <v>109</v>
      </c>
      <c r="H101">
        <v>990.5859942307153</v>
      </c>
      <c r="I101">
        <v>885.8760010686625</v>
      </c>
      <c r="J101">
        <v>796.81394463639958</v>
      </c>
      <c r="K101">
        <v>720.61960032125751</v>
      </c>
    </row>
  </sheetData>
  <phoneticPr fontId="3" type="noConversion"/>
  <pageMargins left="0.7" right="0.7" top="0.75" bottom="0.75" header="0.3" footer="0.3"/>
  <pageSetup orientation="portrait" r:id="rId1"/>
  <headerFooter>
    <oddFooter>&amp;L_x000D_&amp;1#&amp;"Calibri"&amp;10&amp;K000000 INTERNAL USE ONLY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9E77-0859-4C63-AA2E-80710692CA1B}">
  <sheetPr codeName="Sheet3"/>
  <dimension ref="B3:Q31"/>
  <sheetViews>
    <sheetView workbookViewId="0">
      <selection activeCell="S16" sqref="S16"/>
    </sheetView>
  </sheetViews>
  <sheetFormatPr defaultRowHeight="14.5" x14ac:dyDescent="0.35"/>
  <cols>
    <col min="3" max="3" width="18.81640625" bestFit="1" customWidth="1"/>
    <col min="4" max="4" width="13.36328125" bestFit="1" customWidth="1"/>
    <col min="6" max="6" width="13.26953125" customWidth="1"/>
  </cols>
  <sheetData>
    <row r="3" spans="2:17" ht="18.5" x14ac:dyDescent="0.45">
      <c r="B3" t="s">
        <v>0</v>
      </c>
      <c r="C3" s="16" t="s">
        <v>119</v>
      </c>
      <c r="D3" s="16"/>
      <c r="I3" t="s">
        <v>0</v>
      </c>
    </row>
    <row r="5" spans="2:17" x14ac:dyDescent="0.35">
      <c r="F5" s="3" t="s">
        <v>3</v>
      </c>
      <c r="G5">
        <f>$D$7+G6</f>
        <v>35</v>
      </c>
      <c r="H5">
        <f t="shared" ref="H5:Q5" si="0">$D$7+H6</f>
        <v>36</v>
      </c>
      <c r="I5">
        <f t="shared" si="0"/>
        <v>37</v>
      </c>
      <c r="J5">
        <f t="shared" si="0"/>
        <v>38</v>
      </c>
      <c r="K5">
        <f t="shared" si="0"/>
        <v>39</v>
      </c>
      <c r="L5">
        <f t="shared" si="0"/>
        <v>40</v>
      </c>
      <c r="M5">
        <f t="shared" si="0"/>
        <v>41</v>
      </c>
      <c r="N5">
        <f t="shared" si="0"/>
        <v>42</v>
      </c>
      <c r="O5">
        <f t="shared" si="0"/>
        <v>43</v>
      </c>
      <c r="P5">
        <f t="shared" si="0"/>
        <v>44</v>
      </c>
      <c r="Q5">
        <f t="shared" si="0"/>
        <v>45</v>
      </c>
    </row>
    <row r="6" spans="2:17" x14ac:dyDescent="0.35">
      <c r="C6" s="6" t="s">
        <v>2</v>
      </c>
      <c r="D6" s="12" t="s">
        <v>107</v>
      </c>
      <c r="F6" s="11" t="s">
        <v>120</v>
      </c>
      <c r="G6" s="10">
        <v>0</v>
      </c>
      <c r="H6" s="10">
        <v>1</v>
      </c>
      <c r="I6" s="10">
        <v>2</v>
      </c>
      <c r="J6" s="10">
        <v>3</v>
      </c>
      <c r="K6" s="10">
        <v>4</v>
      </c>
      <c r="L6" s="10">
        <v>5</v>
      </c>
      <c r="M6" s="10">
        <v>6</v>
      </c>
      <c r="N6" s="10">
        <v>7</v>
      </c>
      <c r="O6" s="10">
        <v>8</v>
      </c>
      <c r="P6" s="10">
        <v>9</v>
      </c>
      <c r="Q6" s="10">
        <v>10</v>
      </c>
    </row>
    <row r="7" spans="2:17" x14ac:dyDescent="0.35">
      <c r="C7" s="6" t="s">
        <v>3</v>
      </c>
      <c r="D7" s="12">
        <v>35</v>
      </c>
      <c r="F7" s="11" t="s">
        <v>121</v>
      </c>
      <c r="G7" s="1">
        <f>HLOOKUP(G5, 'Rate Tables'!$D$5:$AH$7, IF('Premium Calc'!$D$6="M",2,3),0)</f>
        <v>9.0000000000000011E-2</v>
      </c>
      <c r="H7" s="1">
        <f>HLOOKUP(H5, 'Rate Tables'!$D$5:$AH$7, IF('Premium Calc'!$D$6="M",2,3),0)</f>
        <v>9.1000000000000011E-2</v>
      </c>
      <c r="I7" s="1">
        <f>HLOOKUP(I5, 'Rate Tables'!$D$5:$AH$7, IF('Premium Calc'!$D$6="M",2,3),0)</f>
        <v>9.2000000000000012E-2</v>
      </c>
      <c r="J7" s="1">
        <f>HLOOKUP(J5, 'Rate Tables'!$D$5:$AH$7, IF('Premium Calc'!$D$6="M",2,3),0)</f>
        <v>9.3000000000000013E-2</v>
      </c>
      <c r="K7" s="1">
        <f>HLOOKUP(K5, 'Rate Tables'!$D$5:$AH$7, IF('Premium Calc'!$D$6="M",2,3),0)</f>
        <v>9.4000000000000014E-2</v>
      </c>
      <c r="L7" s="1">
        <f>HLOOKUP(L5, 'Rate Tables'!$D$5:$AH$7, IF('Premium Calc'!$D$6="M",2,3),0)</f>
        <v>9.5000000000000015E-2</v>
      </c>
      <c r="M7" s="1">
        <f>HLOOKUP(M5, 'Rate Tables'!$D$5:$AH$7, IF('Premium Calc'!$D$6="M",2,3),0)</f>
        <v>9.6000000000000016E-2</v>
      </c>
      <c r="N7" s="1">
        <f>HLOOKUP(N5, 'Rate Tables'!$D$5:$AH$7, IF('Premium Calc'!$D$6="M",2,3),0)</f>
        <v>9.7000000000000017E-2</v>
      </c>
      <c r="O7" s="1">
        <f>HLOOKUP(O5, 'Rate Tables'!$D$5:$AH$7, IF('Premium Calc'!$D$6="M",2,3),0)</f>
        <v>9.8000000000000018E-2</v>
      </c>
      <c r="P7" s="1">
        <f>HLOOKUP(P5, 'Rate Tables'!$D$5:$AH$7, IF('Premium Calc'!$D$6="M",2,3),0)</f>
        <v>9.9000000000000019E-2</v>
      </c>
      <c r="Q7" s="1">
        <f>HLOOKUP(Q5, 'Rate Tables'!$D$5:$AH$7, IF('Premium Calc'!$D$6="M",2,3),0)</f>
        <v>0.10000000000000002</v>
      </c>
    </row>
    <row r="9" spans="2:17" x14ac:dyDescent="0.35">
      <c r="C9" s="6" t="s">
        <v>4</v>
      </c>
      <c r="D9" s="12" t="s">
        <v>111</v>
      </c>
      <c r="F9" s="11" t="s">
        <v>120</v>
      </c>
      <c r="G9" s="10">
        <v>0</v>
      </c>
      <c r="H9" s="10">
        <v>1</v>
      </c>
      <c r="I9" s="10">
        <v>2</v>
      </c>
      <c r="J9" s="10">
        <v>3</v>
      </c>
      <c r="K9" s="10">
        <v>4</v>
      </c>
      <c r="L9" s="10">
        <v>5</v>
      </c>
      <c r="M9" s="10">
        <v>6</v>
      </c>
      <c r="N9" s="10">
        <v>7</v>
      </c>
      <c r="O9" s="10">
        <v>8</v>
      </c>
      <c r="P9" s="10">
        <v>9</v>
      </c>
      <c r="Q9" s="10">
        <v>10</v>
      </c>
    </row>
    <row r="10" spans="2:17" x14ac:dyDescent="0.35">
      <c r="F10" s="11" t="s">
        <v>121</v>
      </c>
      <c r="G10" s="1">
        <f>VLOOKUP($D$9, 'Rate Tables'!$C$10:$D$15, 2, 0)</f>
        <v>0.75</v>
      </c>
      <c r="H10" s="1">
        <f>VLOOKUP($D$9, 'Rate Tables'!$C$10:$D$15, 2, 0)</f>
        <v>0.75</v>
      </c>
      <c r="I10" s="1">
        <f>VLOOKUP($D$9, 'Rate Tables'!$C$10:$D$15, 2, 0)</f>
        <v>0.75</v>
      </c>
      <c r="J10" s="1">
        <f>VLOOKUP($D$9, 'Rate Tables'!$C$10:$D$15, 2, 0)</f>
        <v>0.75</v>
      </c>
      <c r="K10" s="1">
        <f>VLOOKUP($D$9, 'Rate Tables'!$C$10:$D$15, 2, 0)</f>
        <v>0.75</v>
      </c>
      <c r="L10" s="1">
        <f>VLOOKUP($D$9, 'Rate Tables'!$C$10:$D$15, 2, 0)</f>
        <v>0.75</v>
      </c>
      <c r="M10" s="1">
        <f>VLOOKUP($D$9, 'Rate Tables'!$C$10:$D$15, 2, 0)</f>
        <v>0.75</v>
      </c>
      <c r="N10" s="1">
        <f>VLOOKUP($D$9, 'Rate Tables'!$C$10:$D$15, 2, 0)</f>
        <v>0.75</v>
      </c>
      <c r="O10" s="1">
        <f>VLOOKUP($D$9, 'Rate Tables'!$C$10:$D$15, 2, 0)</f>
        <v>0.75</v>
      </c>
      <c r="P10" s="1">
        <f>VLOOKUP($D$9, 'Rate Tables'!$C$10:$D$15, 2, 0)</f>
        <v>0.75</v>
      </c>
      <c r="Q10" s="1">
        <f>VLOOKUP($D$9, 'Rate Tables'!$C$10:$D$15, 2, 0)</f>
        <v>0.75</v>
      </c>
    </row>
    <row r="12" spans="2:17" x14ac:dyDescent="0.35">
      <c r="C12" s="6" t="s">
        <v>5</v>
      </c>
      <c r="D12" s="12" t="s">
        <v>113</v>
      </c>
      <c r="F12" s="11" t="s">
        <v>120</v>
      </c>
      <c r="G12" s="10">
        <v>0</v>
      </c>
      <c r="H12" s="10">
        <v>1</v>
      </c>
      <c r="I12" s="10">
        <v>2</v>
      </c>
      <c r="J12" s="10">
        <v>3</v>
      </c>
      <c r="K12" s="10">
        <v>4</v>
      </c>
      <c r="L12" s="10">
        <v>5</v>
      </c>
      <c r="M12" s="10">
        <v>6</v>
      </c>
      <c r="N12" s="10">
        <v>7</v>
      </c>
      <c r="O12" s="10">
        <v>8</v>
      </c>
      <c r="P12" s="10">
        <v>9</v>
      </c>
      <c r="Q12" s="10">
        <v>10</v>
      </c>
    </row>
    <row r="13" spans="2:17" x14ac:dyDescent="0.35">
      <c r="F13" s="11" t="s">
        <v>121</v>
      </c>
      <c r="G13" s="1">
        <f>VLOOKUP($D$12, 'Rate Tables'!$C$17:$D$22, 2, 0)</f>
        <v>0.64999999999999991</v>
      </c>
      <c r="H13" s="1">
        <f>VLOOKUP($D$12, 'Rate Tables'!$C$17:$D$22, 2, 0)</f>
        <v>0.64999999999999991</v>
      </c>
      <c r="I13" s="1">
        <f>VLOOKUP($D$12, 'Rate Tables'!$C$17:$D$22, 2, 0)</f>
        <v>0.64999999999999991</v>
      </c>
      <c r="J13" s="1">
        <f>VLOOKUP($D$12, 'Rate Tables'!$C$17:$D$22, 2, 0)</f>
        <v>0.64999999999999991</v>
      </c>
      <c r="K13" s="1">
        <f>VLOOKUP($D$12, 'Rate Tables'!$C$17:$D$22, 2, 0)</f>
        <v>0.64999999999999991</v>
      </c>
      <c r="L13" s="1">
        <f>VLOOKUP($D$12, 'Rate Tables'!$C$17:$D$22, 2, 0)</f>
        <v>0.64999999999999991</v>
      </c>
      <c r="M13" s="1">
        <f>VLOOKUP($D$12, 'Rate Tables'!$C$17:$D$22, 2, 0)</f>
        <v>0.64999999999999991</v>
      </c>
      <c r="N13" s="1">
        <f>VLOOKUP($D$12, 'Rate Tables'!$C$17:$D$22, 2, 0)</f>
        <v>0.64999999999999991</v>
      </c>
      <c r="O13" s="1">
        <f>VLOOKUP($D$12, 'Rate Tables'!$C$17:$D$22, 2, 0)</f>
        <v>0.64999999999999991</v>
      </c>
      <c r="P13" s="1">
        <f>VLOOKUP($D$12, 'Rate Tables'!$C$17:$D$22, 2, 0)</f>
        <v>0.64999999999999991</v>
      </c>
      <c r="Q13" s="1">
        <f>VLOOKUP($D$12, 'Rate Tables'!$C$17:$D$22, 2, 0)</f>
        <v>0.64999999999999991</v>
      </c>
    </row>
    <row r="15" spans="2:17" x14ac:dyDescent="0.35">
      <c r="C15" s="6" t="s">
        <v>6</v>
      </c>
      <c r="D15" s="12" t="s">
        <v>109</v>
      </c>
      <c r="F15" s="11" t="s">
        <v>120</v>
      </c>
      <c r="G15" s="10">
        <v>0</v>
      </c>
      <c r="H15" s="10">
        <v>1</v>
      </c>
      <c r="I15" s="10">
        <v>2</v>
      </c>
      <c r="J15" s="10">
        <v>3</v>
      </c>
      <c r="K15" s="10">
        <v>4</v>
      </c>
      <c r="L15" s="10">
        <v>5</v>
      </c>
      <c r="M15" s="10">
        <v>6</v>
      </c>
      <c r="N15" s="10">
        <v>7</v>
      </c>
      <c r="O15" s="10">
        <v>8</v>
      </c>
      <c r="P15" s="10">
        <v>9</v>
      </c>
      <c r="Q15" s="10">
        <v>10</v>
      </c>
    </row>
    <row r="16" spans="2:17" x14ac:dyDescent="0.35">
      <c r="F16" s="11" t="s">
        <v>121</v>
      </c>
      <c r="G16" s="1">
        <f>VLOOKUP($D$15, 'Rate Tables'!$C$24:$D$26, 2, 0)</f>
        <v>1</v>
      </c>
      <c r="H16" s="1">
        <f>VLOOKUP($D$15, 'Rate Tables'!$C$24:$D$26, 2, 0)</f>
        <v>1</v>
      </c>
      <c r="I16" s="1">
        <f>VLOOKUP($D$15, 'Rate Tables'!$C$24:$D$26, 2, 0)</f>
        <v>1</v>
      </c>
      <c r="J16" s="1">
        <f>VLOOKUP($D$15, 'Rate Tables'!$C$24:$D$26, 2, 0)</f>
        <v>1</v>
      </c>
      <c r="K16" s="1">
        <f>VLOOKUP($D$15, 'Rate Tables'!$C$24:$D$26, 2, 0)</f>
        <v>1</v>
      </c>
      <c r="L16" s="1">
        <f>VLOOKUP($D$15, 'Rate Tables'!$C$24:$D$26, 2, 0)</f>
        <v>1</v>
      </c>
      <c r="M16" s="1">
        <f>VLOOKUP($D$15, 'Rate Tables'!$C$24:$D$26, 2, 0)</f>
        <v>1</v>
      </c>
      <c r="N16" s="1">
        <f>VLOOKUP($D$15, 'Rate Tables'!$C$24:$D$26, 2, 0)</f>
        <v>1</v>
      </c>
      <c r="O16" s="1">
        <f>VLOOKUP($D$15, 'Rate Tables'!$C$24:$D$26, 2, 0)</f>
        <v>1</v>
      </c>
      <c r="P16" s="1">
        <f>VLOOKUP($D$15, 'Rate Tables'!$C$24:$D$26, 2, 0)</f>
        <v>1</v>
      </c>
      <c r="Q16" s="1">
        <f>VLOOKUP($D$15, 'Rate Tables'!$C$24:$D$26, 2, 0)</f>
        <v>1</v>
      </c>
    </row>
    <row r="17" spans="3:17" x14ac:dyDescent="0.35">
      <c r="C17" s="14" t="s">
        <v>130</v>
      </c>
      <c r="D17" s="12">
        <v>0.08</v>
      </c>
    </row>
    <row r="18" spans="3:17" x14ac:dyDescent="0.35">
      <c r="F18" s="3" t="s">
        <v>122</v>
      </c>
    </row>
    <row r="19" spans="3:17" x14ac:dyDescent="0.35">
      <c r="F19" s="11" t="s">
        <v>120</v>
      </c>
      <c r="G19" s="10">
        <v>0</v>
      </c>
      <c r="H19" s="10">
        <v>1</v>
      </c>
      <c r="I19" s="10">
        <v>2</v>
      </c>
      <c r="J19" s="10">
        <v>3</v>
      </c>
      <c r="K19" s="10">
        <v>4</v>
      </c>
      <c r="L19" s="10">
        <v>5</v>
      </c>
      <c r="M19" s="10">
        <v>6</v>
      </c>
      <c r="N19" s="10">
        <v>7</v>
      </c>
      <c r="O19" s="10">
        <v>8</v>
      </c>
      <c r="P19" s="10">
        <v>9</v>
      </c>
      <c r="Q19" s="10">
        <v>10</v>
      </c>
    </row>
    <row r="20" spans="3:17" x14ac:dyDescent="0.35">
      <c r="F20" s="1"/>
      <c r="G20" s="1">
        <f>G7*G10*G13*G16</f>
        <v>4.3874999999999997E-2</v>
      </c>
      <c r="H20" s="1">
        <f t="shared" ref="H20:Q20" si="1">H7*H10*H13*H16</f>
        <v>4.4362499999999999E-2</v>
      </c>
      <c r="I20" s="1">
        <f t="shared" si="1"/>
        <v>4.4850000000000001E-2</v>
      </c>
      <c r="J20" s="1">
        <f t="shared" si="1"/>
        <v>4.5337499999999996E-2</v>
      </c>
      <c r="K20" s="1">
        <f t="shared" si="1"/>
        <v>4.5824999999999998E-2</v>
      </c>
      <c r="L20" s="1">
        <f t="shared" si="1"/>
        <v>4.63125E-2</v>
      </c>
      <c r="M20" s="1">
        <f t="shared" si="1"/>
        <v>4.6800000000000001E-2</v>
      </c>
      <c r="N20" s="1">
        <f>N7*N10*N13*N16</f>
        <v>4.7287499999999996E-2</v>
      </c>
      <c r="O20" s="1">
        <f>O7*O10*O13*O16</f>
        <v>4.7774999999999998E-2</v>
      </c>
      <c r="P20" s="1">
        <f t="shared" si="1"/>
        <v>4.82625E-2</v>
      </c>
      <c r="Q20" s="1">
        <f t="shared" si="1"/>
        <v>4.8750000000000002E-2</v>
      </c>
    </row>
    <row r="22" spans="3:17" x14ac:dyDescent="0.35">
      <c r="F22" s="3" t="s">
        <v>123</v>
      </c>
    </row>
    <row r="23" spans="3:17" x14ac:dyDescent="0.35">
      <c r="F23" s="11" t="s">
        <v>120</v>
      </c>
      <c r="G23" s="10">
        <v>0</v>
      </c>
      <c r="H23" s="10">
        <v>1</v>
      </c>
      <c r="I23" s="10">
        <v>2</v>
      </c>
      <c r="J23" s="10">
        <v>3</v>
      </c>
      <c r="K23" s="10">
        <v>4</v>
      </c>
      <c r="L23" s="10">
        <v>5</v>
      </c>
      <c r="M23" s="10">
        <v>6</v>
      </c>
      <c r="N23" s="10">
        <v>7</v>
      </c>
      <c r="O23" s="10">
        <v>8</v>
      </c>
      <c r="P23" s="10">
        <v>9</v>
      </c>
      <c r="Q23" s="10">
        <v>10</v>
      </c>
    </row>
    <row r="24" spans="3:17" x14ac:dyDescent="0.35">
      <c r="F24" s="1"/>
      <c r="G24" s="1">
        <f>G20*1000+55</f>
        <v>98.875</v>
      </c>
      <c r="H24" s="1">
        <f t="shared" ref="H24:Q24" si="2">H20*1000+55</f>
        <v>99.362499999999997</v>
      </c>
      <c r="I24" s="1">
        <f t="shared" si="2"/>
        <v>99.85</v>
      </c>
      <c r="J24" s="1">
        <f t="shared" si="2"/>
        <v>100.33750000000001</v>
      </c>
      <c r="K24" s="1">
        <f t="shared" si="2"/>
        <v>100.82499999999999</v>
      </c>
      <c r="L24" s="1">
        <f t="shared" si="2"/>
        <v>101.3125</v>
      </c>
      <c r="M24" s="1">
        <f t="shared" si="2"/>
        <v>101.80000000000001</v>
      </c>
      <c r="N24" s="1">
        <f t="shared" si="2"/>
        <v>102.28749999999999</v>
      </c>
      <c r="O24" s="1">
        <f t="shared" si="2"/>
        <v>102.77500000000001</v>
      </c>
      <c r="P24" s="1">
        <f t="shared" si="2"/>
        <v>103.2625</v>
      </c>
      <c r="Q24" s="1">
        <f t="shared" si="2"/>
        <v>103.75</v>
      </c>
    </row>
    <row r="26" spans="3:17" x14ac:dyDescent="0.35">
      <c r="F26" s="3" t="s">
        <v>124</v>
      </c>
    </row>
    <row r="27" spans="3:17" x14ac:dyDescent="0.35">
      <c r="F27" s="11" t="s">
        <v>120</v>
      </c>
      <c r="G27" s="10">
        <v>0</v>
      </c>
      <c r="H27" s="10">
        <v>1</v>
      </c>
      <c r="I27" s="10">
        <v>2</v>
      </c>
      <c r="J27" s="10">
        <v>3</v>
      </c>
      <c r="K27" s="10">
        <v>4</v>
      </c>
      <c r="L27" s="10">
        <v>5</v>
      </c>
      <c r="M27" s="10">
        <v>6</v>
      </c>
      <c r="N27" s="10">
        <v>7</v>
      </c>
      <c r="O27" s="10">
        <v>8</v>
      </c>
      <c r="P27" s="10">
        <v>9</v>
      </c>
      <c r="Q27" s="10">
        <v>10</v>
      </c>
    </row>
    <row r="28" spans="3:17" x14ac:dyDescent="0.35">
      <c r="F28" s="1"/>
      <c r="G28" s="1">
        <f>G24/(1+$D$17)^(G27+1)</f>
        <v>91.550925925925924</v>
      </c>
      <c r="H28" s="1">
        <f t="shared" ref="H28:Q28" si="3">H24/(1+$D$17)^(H27+1)</f>
        <v>85.187328532235924</v>
      </c>
      <c r="I28" s="1">
        <f t="shared" si="3"/>
        <v>79.264149265863935</v>
      </c>
      <c r="J28" s="1">
        <f t="shared" si="3"/>
        <v>73.751057854964131</v>
      </c>
      <c r="K28" s="1">
        <f t="shared" si="3"/>
        <v>68.619800840928136</v>
      </c>
      <c r="L28" s="1">
        <f t="shared" si="3"/>
        <v>63.844060323594533</v>
      </c>
      <c r="M28" s="1">
        <f t="shared" si="3"/>
        <v>59.399322237685233</v>
      </c>
      <c r="N28" s="1">
        <f t="shared" si="3"/>
        <v>55.262753523495846</v>
      </c>
      <c r="O28" s="1">
        <f>O24/(1+$D$17)^(O27+1)</f>
        <v>51.413087596935704</v>
      </c>
      <c r="P28" s="1">
        <f t="shared" si="3"/>
        <v>47.830517563344706</v>
      </c>
      <c r="Q28" s="1">
        <f t="shared" si="3"/>
        <v>44.496596656283323</v>
      </c>
    </row>
    <row r="30" spans="3:17" x14ac:dyDescent="0.35">
      <c r="F30" s="11" t="s">
        <v>125</v>
      </c>
    </row>
    <row r="31" spans="3:17" x14ac:dyDescent="0.35">
      <c r="F31" s="15">
        <f>SUM(G28:Q28)</f>
        <v>720.61960032125751</v>
      </c>
    </row>
  </sheetData>
  <mergeCells count="1">
    <mergeCell ref="C3:D3"/>
  </mergeCells>
  <dataValidations count="1">
    <dataValidation type="whole" allowBlank="1" showInputMessage="1" showErrorMessage="1" promptTitle="Range" prompt="Whole number between 25 and 45" sqref="D7" xr:uid="{0F2903FE-9B57-4BEC-A97A-6CC69699CC56}">
      <formula1>25</formula1>
      <formula2>45</formula2>
    </dataValidation>
  </dataValidations>
  <pageMargins left="0.7" right="0.7" top="0.75" bottom="0.75" header="0.3" footer="0.3"/>
  <pageSetup orientation="portrait" r:id="rId1"/>
  <headerFooter>
    <oddFooter>&amp;L_x000D_&amp;1#&amp;"Calibri"&amp;10&amp;K000000 INTERNAL USE ONLY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77ECBC1-D428-4B75-A2B7-34D1E3D123D7}">
          <x14:formula1>
            <xm:f>'Rate Tables'!$C$6:$C$7</xm:f>
          </x14:formula1>
          <xm:sqref>D6</xm:sqref>
        </x14:dataValidation>
        <x14:dataValidation type="list" allowBlank="1" showInputMessage="1" showErrorMessage="1" xr:uid="{27D5F647-11A9-4B66-B240-89CCD751B684}">
          <x14:formula1>
            <xm:f>'Rate Tables'!$C$11:$C$15</xm:f>
          </x14:formula1>
          <xm:sqref>D9</xm:sqref>
        </x14:dataValidation>
        <x14:dataValidation type="list" allowBlank="1" showInputMessage="1" showErrorMessage="1" xr:uid="{6DD099C6-A395-455B-BDA9-3D6F50B2EB3F}">
          <x14:formula1>
            <xm:f>'Rate Tables'!$C$18:$C$22</xm:f>
          </x14:formula1>
          <xm:sqref>D12</xm:sqref>
        </x14:dataValidation>
        <x14:dataValidation type="list" allowBlank="1" showInputMessage="1" showErrorMessage="1" xr:uid="{27ECF484-E65A-403A-B523-5306F10F6F4B}">
          <x14:formula1>
            <xm:f>'Rate Tables'!$C$25:$C$26</xm:f>
          </x14:formula1>
          <xm:sqref>D15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Rate Tables</vt:lpstr>
      <vt:lpstr>Policy Data</vt:lpstr>
      <vt:lpstr>Premium 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 Green</dc:creator>
  <cp:lastModifiedBy>Clay Green</cp:lastModifiedBy>
  <dcterms:created xsi:type="dcterms:W3CDTF">2023-01-20T19:20:07Z</dcterms:created>
  <dcterms:modified xsi:type="dcterms:W3CDTF">2023-08-14T16:04:09Z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{E21DF89F-D6B8-475B-B442-3073ECBFA46C}</vt:lpwstr>
  </property>
  <property fmtid="{D5CDD505-2E9C-101B-9397-08002B2CF9AE}" pid="3" name="MSIP_Label_9108d454-5c13-4905-93be-12ec8059c842_Enabled">
    <vt:lpwstr>true</vt:lpwstr>
  </property>
  <property fmtid="{D5CDD505-2E9C-101B-9397-08002B2CF9AE}" pid="4" name="MSIP_Label_9108d454-5c13-4905-93be-12ec8059c842_SetDate">
    <vt:lpwstr>2023-08-14T15:57:04Z</vt:lpwstr>
  </property>
  <property fmtid="{D5CDD505-2E9C-101B-9397-08002B2CF9AE}" pid="5" name="MSIP_Label_9108d454-5c13-4905-93be-12ec8059c842_Method">
    <vt:lpwstr>Privileged</vt:lpwstr>
  </property>
  <property fmtid="{D5CDD505-2E9C-101B-9397-08002B2CF9AE}" pid="6" name="MSIP_Label_9108d454-5c13-4905-93be-12ec8059c842_Name">
    <vt:lpwstr>9108d454-5c13-4905-93be-12ec8059c842</vt:lpwstr>
  </property>
  <property fmtid="{D5CDD505-2E9C-101B-9397-08002B2CF9AE}" pid="7" name="MSIP_Label_9108d454-5c13-4905-93be-12ec8059c842_SiteId">
    <vt:lpwstr>473672ba-cd07-4371-a2ae-788b4c61840e</vt:lpwstr>
  </property>
  <property fmtid="{D5CDD505-2E9C-101B-9397-08002B2CF9AE}" pid="8" name="MSIP_Label_9108d454-5c13-4905-93be-12ec8059c842_ActionId">
    <vt:lpwstr>6d4b804a-cfd3-45f0-aa5b-b5ed26768326</vt:lpwstr>
  </property>
  <property fmtid="{D5CDD505-2E9C-101B-9397-08002B2CF9AE}" pid="9" name="MSIP_Label_9108d454-5c13-4905-93be-12ec8059c842_ContentBits">
    <vt:lpwstr>2</vt:lpwstr>
  </property>
</Properties>
</file>